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da\OneDrive\Documents\Desktop\DATA_ANALYSIS_JOURNEY\PROJECTS\"/>
    </mc:Choice>
  </mc:AlternateContent>
  <xr:revisionPtr revIDLastSave="0" documentId="8_{3A9F18F6-86C4-4C21-B0BD-45B8910B22C4}" xr6:coauthVersionLast="47" xr6:coauthVersionMax="47" xr10:uidLastSave="{00000000-0000-0000-0000-000000000000}"/>
  <bookViews>
    <workbookView xWindow="-108" yWindow="-108" windowWidth="23256" windowHeight="12456" xr2:uid="{78A337A6-1123-49D6-BABF-FF26199248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1" i="1" l="1"/>
  <c r="S19" i="1"/>
  <c r="S17" i="1"/>
  <c r="S15" i="1"/>
  <c r="S13" i="1"/>
  <c r="S11" i="1"/>
  <c r="S9" i="1"/>
  <c r="S7" i="1"/>
  <c r="S5" i="1"/>
  <c r="S3" i="1"/>
</calcChain>
</file>

<file path=xl/sharedStrings.xml><?xml version="1.0" encoding="utf-8"?>
<sst xmlns="http://schemas.openxmlformats.org/spreadsheetml/2006/main" count="239" uniqueCount="81">
  <si>
    <t>Emp_ID</t>
  </si>
  <si>
    <t>Name</t>
  </si>
  <si>
    <t>Department</t>
  </si>
  <si>
    <t>City</t>
  </si>
  <si>
    <t>Salary</t>
  </si>
  <si>
    <t>Experience</t>
  </si>
  <si>
    <t>Rating</t>
  </si>
  <si>
    <t>Manager</t>
  </si>
  <si>
    <t>Joining_Year</t>
  </si>
  <si>
    <t>Bonus</t>
  </si>
  <si>
    <t>Amit</t>
  </si>
  <si>
    <t>Sales</t>
  </si>
  <si>
    <t>Delhi</t>
  </si>
  <si>
    <t>Raj</t>
  </si>
  <si>
    <t>Neha</t>
  </si>
  <si>
    <t>HR</t>
  </si>
  <si>
    <t>Mumbai</t>
  </si>
  <si>
    <t>Suman</t>
  </si>
  <si>
    <t>Rahul</t>
  </si>
  <si>
    <t>IT</t>
  </si>
  <si>
    <t>Pune</t>
  </si>
  <si>
    <t>Karan</t>
  </si>
  <si>
    <t>Priya</t>
  </si>
  <si>
    <t>Ankit</t>
  </si>
  <si>
    <t>Pooja</t>
  </si>
  <si>
    <t>Vivek</t>
  </si>
  <si>
    <t>Jaipur</t>
  </si>
  <si>
    <t>Sneha</t>
  </si>
  <si>
    <t>Arjun</t>
  </si>
  <si>
    <t>Kavya</t>
  </si>
  <si>
    <t>Bangalore</t>
  </si>
  <si>
    <t>Rohit</t>
  </si>
  <si>
    <t>Simran</t>
  </si>
  <si>
    <t>Deepak</t>
  </si>
  <si>
    <t>Nisha</t>
  </si>
  <si>
    <t>Meena</t>
  </si>
  <si>
    <t>Suresh</t>
  </si>
  <si>
    <t>Anjali</t>
  </si>
  <si>
    <t>Rakesh</t>
  </si>
  <si>
    <t>Divya</t>
  </si>
  <si>
    <t>Manoj</t>
  </si>
  <si>
    <t>Kriti</t>
  </si>
  <si>
    <t>Vikas</t>
  </si>
  <si>
    <t>Ritu</t>
  </si>
  <si>
    <t>Ashish</t>
  </si>
  <si>
    <t>Neeraj</t>
  </si>
  <si>
    <t>Priyanka</t>
  </si>
  <si>
    <t>Aakash</t>
  </si>
  <si>
    <t>Sunil</t>
  </si>
  <si>
    <t>Payal</t>
  </si>
  <si>
    <t>Harsh</t>
  </si>
  <si>
    <t>Tina</t>
  </si>
  <si>
    <t>Alok</t>
  </si>
  <si>
    <t>Komal</t>
  </si>
  <si>
    <t>Sachin</t>
  </si>
  <si>
    <t>Preeti</t>
  </si>
  <si>
    <t>Gaurav</t>
  </si>
  <si>
    <t>Rahul2</t>
  </si>
  <si>
    <t>Seema</t>
  </si>
  <si>
    <t>Ajay</t>
  </si>
  <si>
    <t>Rina</t>
  </si>
  <si>
    <t>Deepa</t>
  </si>
  <si>
    <t>Mukesh</t>
  </si>
  <si>
    <t>Sonia</t>
  </si>
  <si>
    <t>Rajesh</t>
  </si>
  <si>
    <t>Kiran</t>
  </si>
  <si>
    <t>Varun</t>
  </si>
  <si>
    <t>Neetu</t>
  </si>
  <si>
    <t>Amit2</t>
  </si>
  <si>
    <t>Ravi</t>
  </si>
  <si>
    <t>1. Emp_ID 105 ka Salary find karo using XLOOKUP</t>
  </si>
  <si>
    <t>2. Name "Sneha" ka City find karo using XLOOKUP</t>
  </si>
  <si>
    <t>3. Emp_ID 110 ka Manager find karo using XLOOKUP</t>
  </si>
  <si>
    <t>4. Name "Rohit" ka Bonus find karo using XLOOKUP</t>
  </si>
  <si>
    <t>5. Emp_ID 123 ka Experience find karo using XLOOKUP</t>
  </si>
  <si>
    <t>6. Name "Priyanka" ka Joining_Year find karo using XLOOKUP</t>
  </si>
  <si>
    <t>7. Emp_ID 114 ka Rating find karo using XLOOKUP</t>
  </si>
  <si>
    <t>8. Name "Sachin" ka Department find karo using XLOOKUP</t>
  </si>
  <si>
    <t>9. Emp_ID 132 ka City find karo using XLOOKUP</t>
  </si>
  <si>
    <t>10. Name "Deepa" ka Salary find karo using XLOOKUP</t>
  </si>
  <si>
    <t>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</si>
</sst>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 inden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75E95-E913-4C2E-92CA-968D3001E5F8}">
  <dimension ref="A1:W59"/>
  <sheetViews>
    <sheetView tabSelected="1" workbookViewId="0">
      <selection activeCell="T15" sqref="T15"/>
    </sheetView>
  </sheetViews>
  <sheetFormatPr defaultRowHeight="14.4" x14ac:dyDescent="0.3"/>
  <cols>
    <col min="1" max="1" width="7.5546875" bestFit="1" customWidth="1"/>
    <col min="2" max="2" width="7.88671875" bestFit="1" customWidth="1"/>
    <col min="3" max="3" width="11.109375" bestFit="1" customWidth="1"/>
    <col min="4" max="4" width="9.21875" bestFit="1" customWidth="1"/>
    <col min="5" max="5" width="6.109375" bestFit="1" customWidth="1"/>
    <col min="6" max="6" width="10.109375" bestFit="1" customWidth="1"/>
    <col min="7" max="7" width="6.33203125" bestFit="1" customWidth="1"/>
    <col min="8" max="8" width="8.5546875" bestFit="1" customWidth="1"/>
    <col min="9" max="9" width="11.5546875" bestFit="1" customWidth="1"/>
    <col min="10" max="10" width="6.21875" bestFit="1" customWidth="1"/>
    <col min="17" max="17" width="17.33203125" customWidth="1"/>
    <col min="18" max="18" width="3.88671875" customWidth="1"/>
  </cols>
  <sheetData>
    <row r="1" spans="1:23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M1" s="3"/>
      <c r="N1" s="3"/>
      <c r="O1" s="4"/>
      <c r="P1" s="3"/>
      <c r="Q1" s="3"/>
      <c r="R1" s="3"/>
      <c r="S1" s="3"/>
      <c r="T1" s="3"/>
      <c r="U1" s="3"/>
      <c r="V1" s="3"/>
      <c r="W1" s="3"/>
    </row>
    <row r="2" spans="1:23" x14ac:dyDescent="0.3">
      <c r="A2">
        <v>101</v>
      </c>
      <c r="B2" t="s">
        <v>10</v>
      </c>
      <c r="C2" t="s">
        <v>11</v>
      </c>
      <c r="D2" t="s">
        <v>12</v>
      </c>
      <c r="E2">
        <v>30000</v>
      </c>
      <c r="F2">
        <v>2</v>
      </c>
      <c r="G2">
        <v>4.2</v>
      </c>
      <c r="H2" t="s">
        <v>13</v>
      </c>
      <c r="I2">
        <v>2022</v>
      </c>
      <c r="J2">
        <v>2000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1" x14ac:dyDescent="0.4">
      <c r="A3">
        <v>102</v>
      </c>
      <c r="B3" t="s">
        <v>14</v>
      </c>
      <c r="C3" t="s">
        <v>15</v>
      </c>
      <c r="D3" t="s">
        <v>16</v>
      </c>
      <c r="E3">
        <v>35000</v>
      </c>
      <c r="F3">
        <v>3</v>
      </c>
      <c r="G3">
        <v>4.5</v>
      </c>
      <c r="H3" t="s">
        <v>17</v>
      </c>
      <c r="I3">
        <v>2021</v>
      </c>
      <c r="J3">
        <v>2500</v>
      </c>
      <c r="M3" s="6" t="s">
        <v>70</v>
      </c>
      <c r="N3" s="3"/>
      <c r="O3" s="3"/>
      <c r="P3" s="3"/>
      <c r="Q3" s="3"/>
      <c r="R3" s="7" t="s">
        <v>80</v>
      </c>
      <c r="S3" s="5">
        <f>_xlfn.XLOOKUP(105, A:A, E:E)</f>
        <v>55000</v>
      </c>
      <c r="T3" s="3"/>
      <c r="U3" s="3"/>
      <c r="V3" s="3"/>
      <c r="W3" s="3"/>
    </row>
    <row r="4" spans="1:23" ht="21" x14ac:dyDescent="0.4">
      <c r="A4">
        <v>103</v>
      </c>
      <c r="B4" t="s">
        <v>18</v>
      </c>
      <c r="C4" t="s">
        <v>19</v>
      </c>
      <c r="D4" t="s">
        <v>20</v>
      </c>
      <c r="E4">
        <v>50000</v>
      </c>
      <c r="F4">
        <v>5</v>
      </c>
      <c r="G4">
        <v>4.8</v>
      </c>
      <c r="H4" t="s">
        <v>21</v>
      </c>
      <c r="I4">
        <v>2019</v>
      </c>
      <c r="J4">
        <v>5000</v>
      </c>
      <c r="M4" s="6"/>
      <c r="N4" s="3"/>
      <c r="O4" s="3"/>
      <c r="P4" s="3"/>
      <c r="Q4" s="3"/>
      <c r="R4" s="7" t="s">
        <v>80</v>
      </c>
      <c r="S4" s="5"/>
      <c r="T4" s="3"/>
      <c r="U4" s="3"/>
      <c r="V4" s="3"/>
      <c r="W4" s="3"/>
    </row>
    <row r="5" spans="1:23" ht="21" x14ac:dyDescent="0.4">
      <c r="A5">
        <v>104</v>
      </c>
      <c r="B5" t="s">
        <v>22</v>
      </c>
      <c r="C5" t="s">
        <v>11</v>
      </c>
      <c r="D5" t="s">
        <v>12</v>
      </c>
      <c r="E5">
        <v>32000</v>
      </c>
      <c r="F5">
        <v>2</v>
      </c>
      <c r="G5">
        <v>4</v>
      </c>
      <c r="H5" t="s">
        <v>13</v>
      </c>
      <c r="I5">
        <v>2022</v>
      </c>
      <c r="J5">
        <v>1800</v>
      </c>
      <c r="M5" s="6" t="s">
        <v>71</v>
      </c>
      <c r="N5" s="3"/>
      <c r="O5" s="3"/>
      <c r="P5" s="3"/>
      <c r="Q5" s="3"/>
      <c r="R5" s="7" t="s">
        <v>80</v>
      </c>
      <c r="S5" s="5" t="str">
        <f>_xlfn.XLOOKUP("Sneha", B:B, D:D)</f>
        <v>Pune</v>
      </c>
      <c r="T5" s="3"/>
      <c r="U5" s="3"/>
      <c r="V5" s="3"/>
      <c r="W5" s="3"/>
    </row>
    <row r="6" spans="1:23" ht="21" x14ac:dyDescent="0.4">
      <c r="A6">
        <v>105</v>
      </c>
      <c r="B6" t="s">
        <v>23</v>
      </c>
      <c r="C6" t="s">
        <v>19</v>
      </c>
      <c r="D6" t="s">
        <v>30</v>
      </c>
      <c r="E6">
        <v>55000</v>
      </c>
      <c r="F6">
        <v>6</v>
      </c>
      <c r="G6">
        <v>4.7</v>
      </c>
      <c r="H6" t="s">
        <v>21</v>
      </c>
      <c r="I6">
        <v>2018</v>
      </c>
      <c r="J6">
        <v>6000</v>
      </c>
      <c r="M6" s="6"/>
      <c r="N6" s="3"/>
      <c r="O6" s="3"/>
      <c r="P6" s="3"/>
      <c r="Q6" s="3"/>
      <c r="R6" s="7" t="s">
        <v>80</v>
      </c>
      <c r="S6" s="5"/>
      <c r="T6" s="3"/>
      <c r="U6" s="3"/>
      <c r="V6" s="3"/>
      <c r="W6" s="3"/>
    </row>
    <row r="7" spans="1:23" ht="21" x14ac:dyDescent="0.4">
      <c r="A7">
        <v>106</v>
      </c>
      <c r="B7" t="s">
        <v>24</v>
      </c>
      <c r="C7" t="s">
        <v>15</v>
      </c>
      <c r="D7" t="s">
        <v>16</v>
      </c>
      <c r="E7">
        <v>37000</v>
      </c>
      <c r="F7">
        <v>4</v>
      </c>
      <c r="G7">
        <v>4.3</v>
      </c>
      <c r="H7" t="s">
        <v>17</v>
      </c>
      <c r="I7">
        <v>2020</v>
      </c>
      <c r="J7">
        <v>2700</v>
      </c>
      <c r="M7" s="6" t="s">
        <v>72</v>
      </c>
      <c r="N7" s="3"/>
      <c r="O7" s="4"/>
      <c r="P7" s="3"/>
      <c r="Q7" s="3"/>
      <c r="R7" s="7" t="s">
        <v>80</v>
      </c>
      <c r="S7" s="5" t="str">
        <f>_xlfn.XLOOKUP(110, A:A, H:H)</f>
        <v>Raj</v>
      </c>
      <c r="T7" s="3"/>
      <c r="U7" s="3"/>
      <c r="V7" s="3"/>
      <c r="W7" s="3"/>
    </row>
    <row r="8" spans="1:23" ht="21" x14ac:dyDescent="0.4">
      <c r="A8">
        <v>107</v>
      </c>
      <c r="B8" t="s">
        <v>25</v>
      </c>
      <c r="C8" t="s">
        <v>11</v>
      </c>
      <c r="D8" t="s">
        <v>26</v>
      </c>
      <c r="E8">
        <v>28000</v>
      </c>
      <c r="F8">
        <v>1</v>
      </c>
      <c r="G8">
        <v>3.9</v>
      </c>
      <c r="H8" t="s">
        <v>13</v>
      </c>
      <c r="I8">
        <v>2023</v>
      </c>
      <c r="J8">
        <v>1500</v>
      </c>
      <c r="M8" s="6"/>
      <c r="N8" s="3"/>
      <c r="O8" s="3"/>
      <c r="P8" s="3"/>
      <c r="Q8" s="3"/>
      <c r="R8" s="7" t="s">
        <v>80</v>
      </c>
      <c r="S8" s="5"/>
      <c r="T8" s="3"/>
      <c r="U8" s="3"/>
      <c r="V8" s="3"/>
      <c r="W8" s="3"/>
    </row>
    <row r="9" spans="1:23" ht="21" x14ac:dyDescent="0.4">
      <c r="A9">
        <v>108</v>
      </c>
      <c r="B9" t="s">
        <v>27</v>
      </c>
      <c r="C9" t="s">
        <v>19</v>
      </c>
      <c r="D9" t="s">
        <v>20</v>
      </c>
      <c r="E9">
        <v>52000</v>
      </c>
      <c r="F9">
        <v>5</v>
      </c>
      <c r="G9">
        <v>4.5999999999999996</v>
      </c>
      <c r="H9" t="s">
        <v>21</v>
      </c>
      <c r="I9">
        <v>2019</v>
      </c>
      <c r="J9">
        <v>5200</v>
      </c>
      <c r="M9" s="6" t="s">
        <v>73</v>
      </c>
      <c r="N9" s="3"/>
      <c r="O9" s="3"/>
      <c r="P9" s="3"/>
      <c r="Q9" s="3"/>
      <c r="R9" s="7" t="s">
        <v>80</v>
      </c>
      <c r="S9" s="5">
        <f>_xlfn.XLOOKUP("Rohit", B:B, J:J)</f>
        <v>4500</v>
      </c>
      <c r="T9" s="3"/>
      <c r="U9" s="3"/>
      <c r="V9" s="3"/>
      <c r="W9" s="3"/>
    </row>
    <row r="10" spans="1:23" ht="21" x14ac:dyDescent="0.4">
      <c r="A10">
        <v>109</v>
      </c>
      <c r="B10" t="s">
        <v>28</v>
      </c>
      <c r="C10" t="s">
        <v>15</v>
      </c>
      <c r="D10" t="s">
        <v>12</v>
      </c>
      <c r="E10">
        <v>36000</v>
      </c>
      <c r="F10">
        <v>3</v>
      </c>
      <c r="G10">
        <v>4.2</v>
      </c>
      <c r="H10" t="s">
        <v>17</v>
      </c>
      <c r="I10">
        <v>2021</v>
      </c>
      <c r="J10">
        <v>2600</v>
      </c>
      <c r="M10" s="6"/>
      <c r="N10" s="3"/>
      <c r="O10" s="3"/>
      <c r="P10" s="3"/>
      <c r="Q10" s="3"/>
      <c r="R10" s="7" t="s">
        <v>80</v>
      </c>
      <c r="S10" s="5"/>
      <c r="T10" s="3"/>
      <c r="U10" s="3"/>
      <c r="V10" s="3"/>
      <c r="W10" s="3"/>
    </row>
    <row r="11" spans="1:23" ht="21" x14ac:dyDescent="0.4">
      <c r="A11">
        <v>110</v>
      </c>
      <c r="B11" t="s">
        <v>29</v>
      </c>
      <c r="C11" t="s">
        <v>11</v>
      </c>
      <c r="D11" t="s">
        <v>16</v>
      </c>
      <c r="E11">
        <v>31000</v>
      </c>
      <c r="F11">
        <v>2</v>
      </c>
      <c r="G11">
        <v>4.0999999999999996</v>
      </c>
      <c r="H11" t="s">
        <v>13</v>
      </c>
      <c r="I11">
        <v>2022</v>
      </c>
      <c r="J11">
        <v>2100</v>
      </c>
      <c r="M11" s="6" t="s">
        <v>74</v>
      </c>
      <c r="N11" s="3"/>
      <c r="O11" s="3"/>
      <c r="P11" s="3"/>
      <c r="Q11" s="3"/>
      <c r="R11" s="7" t="s">
        <v>80</v>
      </c>
      <c r="S11" s="5">
        <f>_xlfn.XLOOKUP(123, A:A, F:F)</f>
        <v>4</v>
      </c>
      <c r="T11" s="3"/>
      <c r="U11" s="3"/>
      <c r="V11" s="3"/>
      <c r="W11" s="3"/>
    </row>
    <row r="12" spans="1:23" ht="21" x14ac:dyDescent="0.4">
      <c r="A12">
        <v>111</v>
      </c>
      <c r="B12" t="s">
        <v>31</v>
      </c>
      <c r="C12" t="s">
        <v>19</v>
      </c>
      <c r="D12" t="s">
        <v>12</v>
      </c>
      <c r="E12">
        <v>48000</v>
      </c>
      <c r="F12">
        <v>4</v>
      </c>
      <c r="G12">
        <v>4.4000000000000004</v>
      </c>
      <c r="H12" t="s">
        <v>21</v>
      </c>
      <c r="I12">
        <v>2020</v>
      </c>
      <c r="J12">
        <v>4500</v>
      </c>
      <c r="M12" s="6"/>
      <c r="N12" s="3"/>
      <c r="O12" s="3"/>
      <c r="P12" s="3"/>
      <c r="Q12" s="3"/>
      <c r="R12" s="7" t="s">
        <v>80</v>
      </c>
      <c r="S12" s="5"/>
      <c r="T12" s="3"/>
      <c r="U12" s="3"/>
      <c r="V12" s="3"/>
      <c r="W12" s="3"/>
    </row>
    <row r="13" spans="1:23" ht="21" x14ac:dyDescent="0.4">
      <c r="A13">
        <v>112</v>
      </c>
      <c r="B13" t="s">
        <v>32</v>
      </c>
      <c r="C13" t="s">
        <v>15</v>
      </c>
      <c r="D13" t="s">
        <v>20</v>
      </c>
      <c r="E13">
        <v>34000</v>
      </c>
      <c r="F13">
        <v>3</v>
      </c>
      <c r="G13">
        <v>4.3</v>
      </c>
      <c r="H13" t="s">
        <v>17</v>
      </c>
      <c r="I13">
        <v>2021</v>
      </c>
      <c r="J13">
        <v>2400</v>
      </c>
      <c r="M13" s="6" t="s">
        <v>75</v>
      </c>
      <c r="N13" s="3"/>
      <c r="O13" s="4"/>
      <c r="P13" s="3"/>
      <c r="Q13" s="3"/>
      <c r="R13" s="7" t="s">
        <v>80</v>
      </c>
      <c r="S13" s="5">
        <f>_xlfn.XLOOKUP("Priyanka", B:B, I:I)</f>
        <v>2021</v>
      </c>
      <c r="T13" s="3"/>
      <c r="U13" s="3"/>
      <c r="V13" s="3"/>
      <c r="W13" s="3"/>
    </row>
    <row r="14" spans="1:23" ht="21" x14ac:dyDescent="0.4">
      <c r="A14">
        <v>113</v>
      </c>
      <c r="B14" t="s">
        <v>33</v>
      </c>
      <c r="C14" t="s">
        <v>11</v>
      </c>
      <c r="D14" t="s">
        <v>26</v>
      </c>
      <c r="E14">
        <v>29000</v>
      </c>
      <c r="F14">
        <v>2</v>
      </c>
      <c r="G14">
        <v>4</v>
      </c>
      <c r="H14" t="s">
        <v>13</v>
      </c>
      <c r="I14">
        <v>2022</v>
      </c>
      <c r="J14">
        <v>1700</v>
      </c>
      <c r="M14" s="6"/>
      <c r="N14" s="3"/>
      <c r="O14" s="3"/>
      <c r="P14" s="3"/>
      <c r="Q14" s="3"/>
      <c r="R14" s="7" t="s">
        <v>80</v>
      </c>
      <c r="S14" s="5"/>
      <c r="T14" s="3"/>
      <c r="U14" s="3"/>
      <c r="V14" s="3"/>
      <c r="W14" s="3"/>
    </row>
    <row r="15" spans="1:23" ht="21" x14ac:dyDescent="0.4">
      <c r="A15">
        <v>114</v>
      </c>
      <c r="B15" t="s">
        <v>34</v>
      </c>
      <c r="C15" t="s">
        <v>19</v>
      </c>
      <c r="D15" t="s">
        <v>30</v>
      </c>
      <c r="E15">
        <v>60000</v>
      </c>
      <c r="F15">
        <v>7</v>
      </c>
      <c r="G15">
        <v>4.9000000000000004</v>
      </c>
      <c r="H15" t="s">
        <v>21</v>
      </c>
      <c r="I15">
        <v>2017</v>
      </c>
      <c r="J15">
        <v>7000</v>
      </c>
      <c r="M15" s="6" t="s">
        <v>76</v>
      </c>
      <c r="N15" s="3"/>
      <c r="O15" s="3"/>
      <c r="P15" s="3"/>
      <c r="Q15" s="3"/>
      <c r="R15" s="7" t="s">
        <v>80</v>
      </c>
      <c r="S15" s="5">
        <f>_xlfn.XLOOKUP(114, A:A, G:G)</f>
        <v>4.9000000000000004</v>
      </c>
      <c r="T15" s="3"/>
      <c r="U15" s="3"/>
      <c r="V15" s="3"/>
      <c r="W15" s="3"/>
    </row>
    <row r="16" spans="1:23" ht="21" x14ac:dyDescent="0.4">
      <c r="A16">
        <v>115</v>
      </c>
      <c r="B16" t="s">
        <v>21</v>
      </c>
      <c r="C16" t="s">
        <v>15</v>
      </c>
      <c r="D16" t="s">
        <v>16</v>
      </c>
      <c r="E16">
        <v>38000</v>
      </c>
      <c r="F16">
        <v>4</v>
      </c>
      <c r="G16">
        <v>4.2</v>
      </c>
      <c r="H16" t="s">
        <v>17</v>
      </c>
      <c r="I16">
        <v>2020</v>
      </c>
      <c r="J16">
        <v>2800</v>
      </c>
      <c r="M16" s="6"/>
      <c r="N16" s="3"/>
      <c r="O16" s="3"/>
      <c r="P16" s="3"/>
      <c r="Q16" s="3"/>
      <c r="R16" s="7" t="s">
        <v>80</v>
      </c>
      <c r="S16" s="5"/>
      <c r="T16" s="3"/>
      <c r="U16" s="3"/>
      <c r="V16" s="3"/>
      <c r="W16" s="3"/>
    </row>
    <row r="17" spans="1:23" ht="21" x14ac:dyDescent="0.4">
      <c r="A17">
        <v>116</v>
      </c>
      <c r="B17" t="s">
        <v>35</v>
      </c>
      <c r="C17" t="s">
        <v>11</v>
      </c>
      <c r="D17" t="s">
        <v>12</v>
      </c>
      <c r="E17">
        <v>33000</v>
      </c>
      <c r="F17">
        <v>3</v>
      </c>
      <c r="G17">
        <v>4.0999999999999996</v>
      </c>
      <c r="H17" t="s">
        <v>13</v>
      </c>
      <c r="I17">
        <v>2021</v>
      </c>
      <c r="J17">
        <v>1900</v>
      </c>
      <c r="M17" s="6" t="s">
        <v>77</v>
      </c>
      <c r="N17" s="3"/>
      <c r="O17" s="3"/>
      <c r="P17" s="3"/>
      <c r="Q17" s="3"/>
      <c r="R17" s="7" t="s">
        <v>80</v>
      </c>
      <c r="S17" s="5" t="str">
        <f>_xlfn.XLOOKUP("Sachin", B:B, C:C)</f>
        <v>IT</v>
      </c>
      <c r="T17" s="3"/>
      <c r="U17" s="3"/>
      <c r="V17" s="3"/>
      <c r="W17" s="3"/>
    </row>
    <row r="18" spans="1:23" ht="21" x14ac:dyDescent="0.4">
      <c r="A18">
        <v>117</v>
      </c>
      <c r="B18" t="s">
        <v>36</v>
      </c>
      <c r="C18" t="s">
        <v>19</v>
      </c>
      <c r="D18" t="s">
        <v>20</v>
      </c>
      <c r="E18">
        <v>51000</v>
      </c>
      <c r="F18">
        <v>5</v>
      </c>
      <c r="G18">
        <v>4.5</v>
      </c>
      <c r="H18" t="s">
        <v>21</v>
      </c>
      <c r="I18">
        <v>2019</v>
      </c>
      <c r="J18">
        <v>5100</v>
      </c>
      <c r="M18" s="6"/>
      <c r="N18" s="3"/>
      <c r="O18" s="3"/>
      <c r="P18" s="3"/>
      <c r="Q18" s="3"/>
      <c r="R18" s="7" t="s">
        <v>80</v>
      </c>
      <c r="S18" s="5"/>
      <c r="T18" s="3"/>
      <c r="U18" s="3"/>
      <c r="V18" s="3"/>
      <c r="W18" s="3"/>
    </row>
    <row r="19" spans="1:23" ht="21" x14ac:dyDescent="0.4">
      <c r="A19">
        <v>118</v>
      </c>
      <c r="B19" t="s">
        <v>37</v>
      </c>
      <c r="C19" t="s">
        <v>15</v>
      </c>
      <c r="D19" t="s">
        <v>12</v>
      </c>
      <c r="E19">
        <v>36000</v>
      </c>
      <c r="F19">
        <v>3</v>
      </c>
      <c r="G19">
        <v>4.4000000000000004</v>
      </c>
      <c r="H19" t="s">
        <v>17</v>
      </c>
      <c r="I19">
        <v>2021</v>
      </c>
      <c r="J19">
        <v>2600</v>
      </c>
      <c r="M19" s="6" t="s">
        <v>78</v>
      </c>
      <c r="N19" s="3"/>
      <c r="O19" s="4"/>
      <c r="P19" s="3"/>
      <c r="Q19" s="3"/>
      <c r="R19" s="7" t="s">
        <v>80</v>
      </c>
      <c r="S19" s="5" t="str">
        <f>_xlfn.XLOOKUP(132, A:A, D:D)</f>
        <v>Delhi</v>
      </c>
      <c r="T19" s="3"/>
      <c r="U19" s="3"/>
      <c r="V19" s="3"/>
      <c r="W19" s="3"/>
    </row>
    <row r="20" spans="1:23" ht="21" x14ac:dyDescent="0.4">
      <c r="A20">
        <v>119</v>
      </c>
      <c r="B20" t="s">
        <v>38</v>
      </c>
      <c r="C20" t="s">
        <v>11</v>
      </c>
      <c r="D20" t="s">
        <v>16</v>
      </c>
      <c r="E20">
        <v>30000</v>
      </c>
      <c r="F20">
        <v>2</v>
      </c>
      <c r="G20">
        <v>4</v>
      </c>
      <c r="H20" t="s">
        <v>13</v>
      </c>
      <c r="I20">
        <v>2022</v>
      </c>
      <c r="J20">
        <v>2000</v>
      </c>
      <c r="M20" s="6"/>
      <c r="N20" s="3"/>
      <c r="O20" s="3"/>
      <c r="P20" s="3"/>
      <c r="Q20" s="3"/>
      <c r="R20" s="7" t="s">
        <v>80</v>
      </c>
      <c r="S20" s="5"/>
      <c r="T20" s="3"/>
      <c r="U20" s="3"/>
      <c r="V20" s="3"/>
      <c r="W20" s="3"/>
    </row>
    <row r="21" spans="1:23" ht="21" x14ac:dyDescent="0.4">
      <c r="A21">
        <v>120</v>
      </c>
      <c r="B21" t="s">
        <v>39</v>
      </c>
      <c r="C21" t="s">
        <v>19</v>
      </c>
      <c r="D21" t="s">
        <v>30</v>
      </c>
      <c r="E21">
        <v>58000</v>
      </c>
      <c r="F21">
        <v>6</v>
      </c>
      <c r="G21">
        <v>4.8</v>
      </c>
      <c r="H21" t="s">
        <v>21</v>
      </c>
      <c r="I21">
        <v>2018</v>
      </c>
      <c r="J21">
        <v>6500</v>
      </c>
      <c r="M21" s="6" t="s">
        <v>79</v>
      </c>
      <c r="N21" s="3"/>
      <c r="O21" s="3"/>
      <c r="P21" s="3"/>
      <c r="Q21" s="3"/>
      <c r="R21" s="7" t="s">
        <v>80</v>
      </c>
      <c r="S21" s="5">
        <f>_xlfn.XLOOKUP("Deepa", B:B, E:E)</f>
        <v>37000</v>
      </c>
      <c r="T21" s="3"/>
      <c r="U21" s="3"/>
      <c r="V21" s="3"/>
      <c r="W21" s="3"/>
    </row>
    <row r="22" spans="1:23" x14ac:dyDescent="0.3">
      <c r="A22">
        <v>121</v>
      </c>
      <c r="B22" t="s">
        <v>40</v>
      </c>
      <c r="C22" t="s">
        <v>15</v>
      </c>
      <c r="D22" t="s">
        <v>20</v>
      </c>
      <c r="E22">
        <v>35000</v>
      </c>
      <c r="F22">
        <v>3</v>
      </c>
      <c r="G22">
        <v>4.3</v>
      </c>
      <c r="H22" t="s">
        <v>17</v>
      </c>
      <c r="I22">
        <v>2021</v>
      </c>
      <c r="J22">
        <v>2500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3">
      <c r="A23">
        <v>122</v>
      </c>
      <c r="B23" t="s">
        <v>41</v>
      </c>
      <c r="C23" t="s">
        <v>11</v>
      </c>
      <c r="D23" t="s">
        <v>12</v>
      </c>
      <c r="E23">
        <v>31000</v>
      </c>
      <c r="F23">
        <v>2</v>
      </c>
      <c r="G23">
        <v>4.0999999999999996</v>
      </c>
      <c r="H23" t="s">
        <v>13</v>
      </c>
      <c r="I23">
        <v>2022</v>
      </c>
      <c r="J23">
        <v>2100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3">
      <c r="A24">
        <v>123</v>
      </c>
      <c r="B24" t="s">
        <v>42</v>
      </c>
      <c r="C24" t="s">
        <v>19</v>
      </c>
      <c r="D24" t="s">
        <v>26</v>
      </c>
      <c r="E24">
        <v>49000</v>
      </c>
      <c r="F24">
        <v>4</v>
      </c>
      <c r="G24">
        <v>4.4000000000000004</v>
      </c>
      <c r="H24" t="s">
        <v>21</v>
      </c>
      <c r="I24">
        <v>2020</v>
      </c>
      <c r="J24">
        <v>4600</v>
      </c>
    </row>
    <row r="25" spans="1:23" ht="18" x14ac:dyDescent="0.3">
      <c r="A25">
        <v>124</v>
      </c>
      <c r="B25" t="s">
        <v>43</v>
      </c>
      <c r="C25" t="s">
        <v>15</v>
      </c>
      <c r="D25" t="s">
        <v>16</v>
      </c>
      <c r="E25">
        <v>37000</v>
      </c>
      <c r="F25">
        <v>4</v>
      </c>
      <c r="G25">
        <v>4.5</v>
      </c>
      <c r="H25" t="s">
        <v>17</v>
      </c>
      <c r="I25">
        <v>2020</v>
      </c>
      <c r="J25">
        <v>2700</v>
      </c>
      <c r="O25" s="2"/>
    </row>
    <row r="26" spans="1:23" x14ac:dyDescent="0.3">
      <c r="A26">
        <v>125</v>
      </c>
      <c r="B26" t="s">
        <v>44</v>
      </c>
      <c r="C26" t="s">
        <v>11</v>
      </c>
      <c r="D26" t="s">
        <v>12</v>
      </c>
      <c r="E26">
        <v>32000</v>
      </c>
      <c r="F26">
        <v>3</v>
      </c>
      <c r="G26">
        <v>4.2</v>
      </c>
      <c r="H26" t="s">
        <v>13</v>
      </c>
      <c r="I26">
        <v>2021</v>
      </c>
      <c r="J26">
        <v>2200</v>
      </c>
    </row>
    <row r="27" spans="1:23" x14ac:dyDescent="0.3">
      <c r="A27">
        <v>126</v>
      </c>
      <c r="B27" t="s">
        <v>45</v>
      </c>
      <c r="C27" t="s">
        <v>19</v>
      </c>
      <c r="D27" t="s">
        <v>20</v>
      </c>
      <c r="E27">
        <v>53000</v>
      </c>
      <c r="F27">
        <v>5</v>
      </c>
      <c r="G27">
        <v>4.5999999999999996</v>
      </c>
      <c r="H27" t="s">
        <v>21</v>
      </c>
      <c r="I27">
        <v>2019</v>
      </c>
      <c r="J27">
        <v>5300</v>
      </c>
    </row>
    <row r="28" spans="1:23" x14ac:dyDescent="0.3">
      <c r="A28">
        <v>127</v>
      </c>
      <c r="B28" t="s">
        <v>46</v>
      </c>
      <c r="C28" t="s">
        <v>15</v>
      </c>
      <c r="D28" t="s">
        <v>12</v>
      </c>
      <c r="E28">
        <v>36000</v>
      </c>
      <c r="F28">
        <v>3</v>
      </c>
      <c r="G28">
        <v>4.3</v>
      </c>
      <c r="H28" t="s">
        <v>17</v>
      </c>
      <c r="I28">
        <v>2021</v>
      </c>
      <c r="J28">
        <v>2600</v>
      </c>
    </row>
    <row r="29" spans="1:23" x14ac:dyDescent="0.3">
      <c r="A29">
        <v>128</v>
      </c>
      <c r="B29" t="s">
        <v>47</v>
      </c>
      <c r="C29" t="s">
        <v>11</v>
      </c>
      <c r="D29" t="s">
        <v>16</v>
      </c>
      <c r="E29">
        <v>30000</v>
      </c>
      <c r="F29">
        <v>2</v>
      </c>
      <c r="G29">
        <v>4</v>
      </c>
      <c r="H29" t="s">
        <v>13</v>
      </c>
      <c r="I29">
        <v>2022</v>
      </c>
      <c r="J29">
        <v>2000</v>
      </c>
    </row>
    <row r="30" spans="1:23" x14ac:dyDescent="0.3">
      <c r="A30">
        <v>129</v>
      </c>
      <c r="B30" t="s">
        <v>48</v>
      </c>
      <c r="C30" t="s">
        <v>19</v>
      </c>
      <c r="D30" t="s">
        <v>30</v>
      </c>
      <c r="E30">
        <v>57000</v>
      </c>
      <c r="F30">
        <v>6</v>
      </c>
      <c r="G30">
        <v>4.7</v>
      </c>
      <c r="H30" t="s">
        <v>21</v>
      </c>
      <c r="I30">
        <v>2018</v>
      </c>
      <c r="J30">
        <v>6400</v>
      </c>
    </row>
    <row r="31" spans="1:23" x14ac:dyDescent="0.3">
      <c r="A31">
        <v>130</v>
      </c>
      <c r="B31" t="s">
        <v>49</v>
      </c>
      <c r="C31" t="s">
        <v>15</v>
      </c>
      <c r="D31" t="s">
        <v>20</v>
      </c>
      <c r="E31">
        <v>34000</v>
      </c>
      <c r="F31">
        <v>3</v>
      </c>
      <c r="G31">
        <v>4.2</v>
      </c>
      <c r="H31" t="s">
        <v>17</v>
      </c>
      <c r="I31">
        <v>2021</v>
      </c>
      <c r="J31">
        <v>2400</v>
      </c>
    </row>
    <row r="32" spans="1:23" ht="18" x14ac:dyDescent="0.3">
      <c r="A32">
        <v>131</v>
      </c>
      <c r="B32" t="s">
        <v>50</v>
      </c>
      <c r="C32" t="s">
        <v>11</v>
      </c>
      <c r="D32" t="s">
        <v>26</v>
      </c>
      <c r="E32">
        <v>28000</v>
      </c>
      <c r="F32">
        <v>1</v>
      </c>
      <c r="G32">
        <v>3.8</v>
      </c>
      <c r="H32" t="s">
        <v>13</v>
      </c>
      <c r="I32">
        <v>2023</v>
      </c>
      <c r="J32">
        <v>1500</v>
      </c>
      <c r="O32" s="2"/>
    </row>
    <row r="33" spans="1:15" x14ac:dyDescent="0.3">
      <c r="A33">
        <v>132</v>
      </c>
      <c r="B33" t="s">
        <v>51</v>
      </c>
      <c r="C33" t="s">
        <v>19</v>
      </c>
      <c r="D33" t="s">
        <v>12</v>
      </c>
      <c r="E33">
        <v>50000</v>
      </c>
      <c r="F33">
        <v>5</v>
      </c>
      <c r="G33">
        <v>4.5</v>
      </c>
      <c r="H33" t="s">
        <v>21</v>
      </c>
      <c r="I33">
        <v>2019</v>
      </c>
      <c r="J33">
        <v>5000</v>
      </c>
    </row>
    <row r="34" spans="1:15" x14ac:dyDescent="0.3">
      <c r="A34">
        <v>133</v>
      </c>
      <c r="B34" t="s">
        <v>52</v>
      </c>
      <c r="C34" t="s">
        <v>15</v>
      </c>
      <c r="D34" t="s">
        <v>16</v>
      </c>
      <c r="E34">
        <v>38000</v>
      </c>
      <c r="F34">
        <v>4</v>
      </c>
      <c r="G34">
        <v>4.4000000000000004</v>
      </c>
      <c r="H34" t="s">
        <v>17</v>
      </c>
      <c r="I34">
        <v>2020</v>
      </c>
      <c r="J34">
        <v>2800</v>
      </c>
    </row>
    <row r="35" spans="1:15" x14ac:dyDescent="0.3">
      <c r="A35">
        <v>134</v>
      </c>
      <c r="B35" t="s">
        <v>53</v>
      </c>
      <c r="C35" t="s">
        <v>11</v>
      </c>
      <c r="D35" t="s">
        <v>12</v>
      </c>
      <c r="E35">
        <v>31000</v>
      </c>
      <c r="F35">
        <v>2</v>
      </c>
      <c r="G35">
        <v>4.0999999999999996</v>
      </c>
      <c r="H35" t="s">
        <v>13</v>
      </c>
      <c r="I35">
        <v>2022</v>
      </c>
      <c r="J35">
        <v>2100</v>
      </c>
    </row>
    <row r="36" spans="1:15" x14ac:dyDescent="0.3">
      <c r="A36">
        <v>135</v>
      </c>
      <c r="B36" t="s">
        <v>54</v>
      </c>
      <c r="C36" t="s">
        <v>19</v>
      </c>
      <c r="D36" t="s">
        <v>20</v>
      </c>
      <c r="E36">
        <v>54000</v>
      </c>
      <c r="F36">
        <v>5</v>
      </c>
      <c r="G36">
        <v>4.5999999999999996</v>
      </c>
      <c r="H36" t="s">
        <v>21</v>
      </c>
      <c r="I36">
        <v>2019</v>
      </c>
      <c r="J36">
        <v>5400</v>
      </c>
    </row>
    <row r="37" spans="1:15" x14ac:dyDescent="0.3">
      <c r="A37">
        <v>136</v>
      </c>
      <c r="B37" t="s">
        <v>55</v>
      </c>
      <c r="C37" t="s">
        <v>15</v>
      </c>
      <c r="D37" t="s">
        <v>12</v>
      </c>
      <c r="E37">
        <v>36000</v>
      </c>
      <c r="F37">
        <v>3</v>
      </c>
      <c r="G37">
        <v>4.3</v>
      </c>
      <c r="H37" t="s">
        <v>17</v>
      </c>
      <c r="I37">
        <v>2021</v>
      </c>
      <c r="J37">
        <v>2600</v>
      </c>
    </row>
    <row r="38" spans="1:15" ht="18" x14ac:dyDescent="0.3">
      <c r="A38">
        <v>137</v>
      </c>
      <c r="B38" t="s">
        <v>56</v>
      </c>
      <c r="C38" t="s">
        <v>11</v>
      </c>
      <c r="D38" t="s">
        <v>16</v>
      </c>
      <c r="E38">
        <v>30000</v>
      </c>
      <c r="F38">
        <v>2</v>
      </c>
      <c r="G38">
        <v>4</v>
      </c>
      <c r="H38" t="s">
        <v>13</v>
      </c>
      <c r="I38">
        <v>2022</v>
      </c>
      <c r="J38">
        <v>2000</v>
      </c>
      <c r="O38" s="2"/>
    </row>
    <row r="39" spans="1:15" x14ac:dyDescent="0.3">
      <c r="A39">
        <v>138</v>
      </c>
      <c r="B39" t="s">
        <v>57</v>
      </c>
      <c r="C39" t="s">
        <v>19</v>
      </c>
      <c r="D39" t="s">
        <v>30</v>
      </c>
      <c r="E39">
        <v>59000</v>
      </c>
      <c r="F39">
        <v>6</v>
      </c>
      <c r="G39">
        <v>4.8</v>
      </c>
      <c r="H39" t="s">
        <v>21</v>
      </c>
      <c r="I39">
        <v>2018</v>
      </c>
      <c r="J39">
        <v>6600</v>
      </c>
    </row>
    <row r="40" spans="1:15" x14ac:dyDescent="0.3">
      <c r="A40">
        <v>139</v>
      </c>
      <c r="B40" t="s">
        <v>58</v>
      </c>
      <c r="C40" t="s">
        <v>15</v>
      </c>
      <c r="D40" t="s">
        <v>20</v>
      </c>
      <c r="E40">
        <v>35000</v>
      </c>
      <c r="F40">
        <v>3</v>
      </c>
      <c r="G40">
        <v>4.2</v>
      </c>
      <c r="H40" t="s">
        <v>17</v>
      </c>
      <c r="I40">
        <v>2021</v>
      </c>
      <c r="J40">
        <v>2500</v>
      </c>
    </row>
    <row r="41" spans="1:15" x14ac:dyDescent="0.3">
      <c r="A41">
        <v>140</v>
      </c>
      <c r="B41" t="s">
        <v>59</v>
      </c>
      <c r="C41" t="s">
        <v>11</v>
      </c>
      <c r="D41" t="s">
        <v>26</v>
      </c>
      <c r="E41">
        <v>29000</v>
      </c>
      <c r="F41">
        <v>2</v>
      </c>
      <c r="G41">
        <v>3.9</v>
      </c>
      <c r="H41" t="s">
        <v>13</v>
      </c>
      <c r="I41">
        <v>2022</v>
      </c>
      <c r="J41">
        <v>1700</v>
      </c>
    </row>
    <row r="42" spans="1:15" x14ac:dyDescent="0.3">
      <c r="A42">
        <v>141</v>
      </c>
      <c r="B42" t="s">
        <v>60</v>
      </c>
      <c r="C42" t="s">
        <v>19</v>
      </c>
      <c r="D42" t="s">
        <v>12</v>
      </c>
      <c r="E42">
        <v>51000</v>
      </c>
      <c r="F42">
        <v>5</v>
      </c>
      <c r="G42">
        <v>4.5</v>
      </c>
      <c r="H42" t="s">
        <v>21</v>
      </c>
      <c r="I42">
        <v>2019</v>
      </c>
      <c r="J42">
        <v>5100</v>
      </c>
    </row>
    <row r="43" spans="1:15" x14ac:dyDescent="0.3">
      <c r="A43">
        <v>142</v>
      </c>
      <c r="B43" t="s">
        <v>61</v>
      </c>
      <c r="C43" t="s">
        <v>15</v>
      </c>
      <c r="D43" t="s">
        <v>16</v>
      </c>
      <c r="E43">
        <v>37000</v>
      </c>
      <c r="F43">
        <v>4</v>
      </c>
      <c r="G43">
        <v>4.4000000000000004</v>
      </c>
      <c r="H43" t="s">
        <v>17</v>
      </c>
      <c r="I43">
        <v>2020</v>
      </c>
      <c r="J43">
        <v>2700</v>
      </c>
    </row>
    <row r="44" spans="1:15" x14ac:dyDescent="0.3">
      <c r="A44">
        <v>143</v>
      </c>
      <c r="B44" t="s">
        <v>62</v>
      </c>
      <c r="C44" t="s">
        <v>11</v>
      </c>
      <c r="D44" t="s">
        <v>12</v>
      </c>
      <c r="E44">
        <v>32000</v>
      </c>
      <c r="F44">
        <v>3</v>
      </c>
      <c r="G44">
        <v>4.0999999999999996</v>
      </c>
      <c r="H44" t="s">
        <v>13</v>
      </c>
      <c r="I44">
        <v>2021</v>
      </c>
      <c r="J44">
        <v>2200</v>
      </c>
    </row>
    <row r="45" spans="1:15" ht="18" x14ac:dyDescent="0.3">
      <c r="A45">
        <v>144</v>
      </c>
      <c r="B45" t="s">
        <v>63</v>
      </c>
      <c r="C45" t="s">
        <v>19</v>
      </c>
      <c r="D45" t="s">
        <v>20</v>
      </c>
      <c r="E45">
        <v>52000</v>
      </c>
      <c r="F45">
        <v>5</v>
      </c>
      <c r="G45">
        <v>4.5999999999999996</v>
      </c>
      <c r="H45" t="s">
        <v>21</v>
      </c>
      <c r="I45">
        <v>2019</v>
      </c>
      <c r="J45">
        <v>5200</v>
      </c>
      <c r="O45" s="2"/>
    </row>
    <row r="46" spans="1:15" x14ac:dyDescent="0.3">
      <c r="A46">
        <v>145</v>
      </c>
      <c r="B46" t="s">
        <v>64</v>
      </c>
      <c r="C46" t="s">
        <v>15</v>
      </c>
      <c r="D46" t="s">
        <v>12</v>
      </c>
      <c r="E46">
        <v>36000</v>
      </c>
      <c r="F46">
        <v>3</v>
      </c>
      <c r="G46">
        <v>4.3</v>
      </c>
      <c r="H46" t="s">
        <v>17</v>
      </c>
      <c r="I46">
        <v>2021</v>
      </c>
      <c r="J46">
        <v>2600</v>
      </c>
    </row>
    <row r="47" spans="1:15" x14ac:dyDescent="0.3">
      <c r="A47">
        <v>146</v>
      </c>
      <c r="B47" t="s">
        <v>65</v>
      </c>
      <c r="C47" t="s">
        <v>11</v>
      </c>
      <c r="D47" t="s">
        <v>16</v>
      </c>
      <c r="E47">
        <v>31000</v>
      </c>
      <c r="F47">
        <v>2</v>
      </c>
      <c r="G47">
        <v>4</v>
      </c>
      <c r="H47" t="s">
        <v>13</v>
      </c>
      <c r="I47">
        <v>2022</v>
      </c>
      <c r="J47">
        <v>2100</v>
      </c>
    </row>
    <row r="48" spans="1:15" x14ac:dyDescent="0.3">
      <c r="A48">
        <v>147</v>
      </c>
      <c r="B48" t="s">
        <v>66</v>
      </c>
      <c r="C48" t="s">
        <v>19</v>
      </c>
      <c r="D48" t="s">
        <v>30</v>
      </c>
      <c r="E48">
        <v>56000</v>
      </c>
      <c r="F48">
        <v>6</v>
      </c>
      <c r="G48">
        <v>4.7</v>
      </c>
      <c r="H48" t="s">
        <v>21</v>
      </c>
      <c r="I48">
        <v>2018</v>
      </c>
      <c r="J48">
        <v>6300</v>
      </c>
    </row>
    <row r="49" spans="1:15" x14ac:dyDescent="0.3">
      <c r="A49">
        <v>148</v>
      </c>
      <c r="B49" t="s">
        <v>67</v>
      </c>
      <c r="C49" t="s">
        <v>15</v>
      </c>
      <c r="D49" t="s">
        <v>20</v>
      </c>
      <c r="E49">
        <v>34000</v>
      </c>
      <c r="F49">
        <v>3</v>
      </c>
      <c r="G49">
        <v>4.2</v>
      </c>
      <c r="H49" t="s">
        <v>17</v>
      </c>
      <c r="I49">
        <v>2021</v>
      </c>
      <c r="J49">
        <v>2400</v>
      </c>
    </row>
    <row r="50" spans="1:15" x14ac:dyDescent="0.3">
      <c r="A50">
        <v>149</v>
      </c>
      <c r="B50" t="s">
        <v>68</v>
      </c>
      <c r="C50" t="s">
        <v>11</v>
      </c>
      <c r="D50" t="s">
        <v>12</v>
      </c>
      <c r="E50">
        <v>30000</v>
      </c>
      <c r="F50">
        <v>2</v>
      </c>
      <c r="G50">
        <v>4.0999999999999996</v>
      </c>
      <c r="H50" t="s">
        <v>13</v>
      </c>
      <c r="I50">
        <v>2022</v>
      </c>
      <c r="J50">
        <v>2000</v>
      </c>
    </row>
    <row r="51" spans="1:15" x14ac:dyDescent="0.3">
      <c r="A51">
        <v>150</v>
      </c>
      <c r="B51" t="s">
        <v>69</v>
      </c>
      <c r="C51" t="s">
        <v>19</v>
      </c>
      <c r="D51" t="s">
        <v>16</v>
      </c>
      <c r="E51">
        <v>55000</v>
      </c>
      <c r="F51">
        <v>5</v>
      </c>
      <c r="G51">
        <v>4.5999999999999996</v>
      </c>
      <c r="H51" t="s">
        <v>21</v>
      </c>
      <c r="I51">
        <v>2019</v>
      </c>
      <c r="J51">
        <v>5500</v>
      </c>
    </row>
    <row r="52" spans="1:15" ht="18" x14ac:dyDescent="0.3">
      <c r="O52" s="2"/>
    </row>
    <row r="59" spans="1:15" ht="18" x14ac:dyDescent="0.3">
      <c r="O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Kundan Pandey</dc:creator>
  <cp:lastModifiedBy>Kundan Pandey</cp:lastModifiedBy>
  <dcterms:created xsi:type="dcterms:W3CDTF">2026-04-06T08:56:21Z</dcterms:created>
  <dcterms:modified xsi:type="dcterms:W3CDTF">2026-04-06T10:02:54Z</dcterms:modified>
</cp:coreProperties>
</file>