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\OneDrive\Documents\Desktop\DATA_ANALYSIS_JOURNEY\PROJECTS\"/>
    </mc:Choice>
  </mc:AlternateContent>
  <xr:revisionPtr revIDLastSave="0" documentId="8_{9D7AC491-83FA-4D63-B986-88CE01983C62}" xr6:coauthVersionLast="47" xr6:coauthVersionMax="47" xr10:uidLastSave="{00000000-0000-0000-0000-000000000000}"/>
  <bookViews>
    <workbookView xWindow="-108" yWindow="-108" windowWidth="23256" windowHeight="12456" xr2:uid="{86B917AC-40F9-4ADA-B8DE-A7B559F0A1D2}"/>
  </bookViews>
  <sheets>
    <sheet name="Sheet1" sheetId="1" r:id="rId1"/>
    <sheet name="RAW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G3" i="1"/>
  <c r="G4" i="1"/>
  <c r="G5" i="1"/>
  <c r="G6" i="1"/>
  <c r="G7" i="1"/>
  <c r="G2" i="1"/>
  <c r="E8" i="1"/>
</calcChain>
</file>

<file path=xl/sharedStrings.xml><?xml version="1.0" encoding="utf-8"?>
<sst xmlns="http://schemas.openxmlformats.org/spreadsheetml/2006/main" count="84" uniqueCount="48">
  <si>
    <t>Order ID</t>
  </si>
  <si>
    <t>Customer</t>
  </si>
  <si>
    <t>Region</t>
  </si>
  <si>
    <t>Category</t>
  </si>
  <si>
    <t>Sales</t>
  </si>
  <si>
    <t>Profit</t>
  </si>
  <si>
    <t>CA-101</t>
  </si>
  <si>
    <t>Aman</t>
  </si>
  <si>
    <t>West</t>
  </si>
  <si>
    <t>Technology</t>
  </si>
  <si>
    <t>CA-102</t>
  </si>
  <si>
    <t>Rahul</t>
  </si>
  <si>
    <t>East</t>
  </si>
  <si>
    <t>Furniture</t>
  </si>
  <si>
    <t>CA-103</t>
  </si>
  <si>
    <t>Priya</t>
  </si>
  <si>
    <t>Office Supplies</t>
  </si>
  <si>
    <t>CA-104</t>
  </si>
  <si>
    <t>Sonal</t>
  </si>
  <si>
    <t>Central</t>
  </si>
  <si>
    <t>CA-105</t>
  </si>
  <si>
    <t>Kabir</t>
  </si>
  <si>
    <t>CA-106</t>
  </si>
  <si>
    <t>Megha</t>
  </si>
  <si>
    <t>Status</t>
  </si>
  <si>
    <t>🛠️ Todays 5 Tasks (Isi Data Pe Karna Hai)</t>
  </si>
  <si>
    <t>Task 1: Revenue Check</t>
  </si>
  <si>
    <r>
      <t>Do this: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Sales</t>
    </r>
    <r>
      <rPr>
        <sz val="11"/>
        <color theme="1"/>
        <rFont val="Calibri"/>
        <family val="2"/>
        <scheme val="minor"/>
      </rPr>
      <t xml:space="preserve"> column ka total nikalne ke liye </t>
    </r>
    <r>
      <rPr>
        <sz val="10"/>
        <color theme="1"/>
        <rFont val="Arial Unicode MS"/>
        <family val="2"/>
      </rPr>
      <t>SUM</t>
    </r>
    <r>
      <rPr>
        <sz val="11"/>
        <color theme="1"/>
        <rFont val="Calibri"/>
        <family val="2"/>
        <scheme val="minor"/>
      </rPr>
      <t xml:space="preserve"> use karo.</t>
    </r>
  </si>
  <si>
    <r>
      <t>Expected output:</t>
    </r>
    <r>
      <rPr>
        <sz val="11"/>
        <color theme="1"/>
        <rFont val="Calibri"/>
        <family val="2"/>
        <scheme val="minor"/>
      </rPr>
      <t xml:space="preserve"> 5100</t>
    </r>
  </si>
  <si>
    <t>Task 2: Profitability Analysis</t>
  </si>
  <si>
    <r>
      <t>Do this:</t>
    </r>
    <r>
      <rPr>
        <sz val="11"/>
        <color theme="1"/>
        <rFont val="Calibri"/>
        <family val="2"/>
        <scheme val="minor"/>
      </rPr>
      <t xml:space="preserve"> Ek naya column banao </t>
    </r>
    <r>
      <rPr>
        <b/>
        <sz val="11"/>
        <color theme="1"/>
        <rFont val="Calibri"/>
        <family val="2"/>
        <scheme val="minor"/>
      </rPr>
      <t>"Status"</t>
    </r>
    <r>
      <rPr>
        <sz val="11"/>
        <color theme="1"/>
        <rFont val="Calibri"/>
        <family val="2"/>
        <scheme val="minor"/>
      </rPr>
      <t xml:space="preserve">. Agar </t>
    </r>
    <r>
      <rPr>
        <sz val="10"/>
        <color theme="1"/>
        <rFont val="Arial Unicode MS"/>
        <family val="2"/>
      </rPr>
      <t>Profit &gt; 0</t>
    </r>
    <r>
      <rPr>
        <sz val="11"/>
        <color theme="1"/>
        <rFont val="Calibri"/>
        <family val="2"/>
        <scheme val="minor"/>
      </rPr>
      <t xml:space="preserve"> hai toh "Profit" likho, nahi toh "Loss" (Use </t>
    </r>
    <r>
      <rPr>
        <sz val="10"/>
        <color theme="1"/>
        <rFont val="Arial Unicode MS"/>
        <family val="2"/>
      </rPr>
      <t>IF</t>
    </r>
    <r>
      <rPr>
        <sz val="11"/>
        <color theme="1"/>
        <rFont val="Calibri"/>
        <family val="2"/>
        <scheme val="minor"/>
      </rPr>
      <t>).</t>
    </r>
  </si>
  <si>
    <r>
      <t>Expected output:</t>
    </r>
    <r>
      <rPr>
        <sz val="11"/>
        <color theme="1"/>
        <rFont val="Calibri"/>
        <family val="2"/>
        <scheme val="minor"/>
      </rPr>
      <t xml:space="preserve"> CA-102 aur CA-105 ke aage "Loss" dikhna chahiye.</t>
    </r>
  </si>
  <si>
    <t>Task 3: Region Performance</t>
  </si>
  <si>
    <r>
      <t>Do this: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COUNTIF</t>
    </r>
    <r>
      <rPr>
        <sz val="11"/>
        <color theme="1"/>
        <rFont val="Calibri"/>
        <family val="2"/>
        <scheme val="minor"/>
      </rPr>
      <t xml:space="preserve"> use karke count karo ki </t>
    </r>
    <r>
      <rPr>
        <b/>
        <sz val="11"/>
        <color theme="1"/>
        <rFont val="Calibri"/>
        <family val="2"/>
        <scheme val="minor"/>
      </rPr>
      <t>"West"</t>
    </r>
    <r>
      <rPr>
        <sz val="11"/>
        <color theme="1"/>
        <rFont val="Calibri"/>
        <family val="2"/>
        <scheme val="minor"/>
      </rPr>
      <t xml:space="preserve"> region se total kitne orders aaye hain.</t>
    </r>
  </si>
  <si>
    <r>
      <t>Expected output:</t>
    </r>
    <r>
      <rPr>
        <sz val="11"/>
        <color theme="1"/>
        <rFont val="Calibri"/>
        <family val="2"/>
        <scheme val="minor"/>
      </rPr>
      <t xml:space="preserve"> 3</t>
    </r>
  </si>
  <si>
    <t>Task 4: High Ticket Orders</t>
  </si>
  <si>
    <r>
      <t>Do this: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COUNTIFS</t>
    </r>
    <r>
      <rPr>
        <sz val="11"/>
        <color theme="1"/>
        <rFont val="Calibri"/>
        <family val="2"/>
        <scheme val="minor"/>
      </rPr>
      <t xml:space="preserve"> use karke count karo: Kitne orders </t>
    </r>
    <r>
      <rPr>
        <b/>
        <sz val="11"/>
        <color theme="1"/>
        <rFont val="Calibri"/>
        <family val="2"/>
        <scheme val="minor"/>
      </rPr>
      <t>"Technology"</t>
    </r>
    <r>
      <rPr>
        <sz val="11"/>
        <color theme="1"/>
        <rFont val="Calibri"/>
        <family val="2"/>
        <scheme val="minor"/>
      </rPr>
      <t xml:space="preserve"> category mein hain AND unki </t>
    </r>
    <r>
      <rPr>
        <b/>
        <sz val="11"/>
        <color theme="1"/>
        <rFont val="Calibri"/>
        <family val="2"/>
        <scheme val="minor"/>
      </rPr>
      <t>"Sales &gt; 1000"</t>
    </r>
    <r>
      <rPr>
        <sz val="11"/>
        <color theme="1"/>
        <rFont val="Calibri"/>
        <family val="2"/>
        <scheme val="minor"/>
      </rPr>
      <t xml:space="preserve"> hai?</t>
    </r>
  </si>
  <si>
    <r>
      <t>Expected output:</t>
    </r>
    <r>
      <rPr>
        <sz val="11"/>
        <color theme="1"/>
        <rFont val="Calibri"/>
        <family val="2"/>
        <scheme val="minor"/>
      </rPr>
      <t xml:space="preserve"> 2 (Aman aur Megha)</t>
    </r>
  </si>
  <si>
    <t>Task 5: Efficiency Metric</t>
  </si>
  <si>
    <r>
      <t>Do this:</t>
    </r>
    <r>
      <rPr>
        <sz val="11"/>
        <color theme="1"/>
        <rFont val="Calibri"/>
        <family val="2"/>
        <scheme val="minor"/>
      </rPr>
      <t xml:space="preserve"> Pura data select karke check karo ki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 xml:space="preserve"> kitni hai (Use </t>
    </r>
    <r>
      <rPr>
        <sz val="10"/>
        <color theme="1"/>
        <rFont val="Arial Unicode MS"/>
        <family val="2"/>
      </rPr>
      <t>AVERAGE</t>
    </r>
    <r>
      <rPr>
        <sz val="11"/>
        <color theme="1"/>
        <rFont val="Calibri"/>
        <family val="2"/>
        <scheme val="minor"/>
      </rPr>
      <t>).</t>
    </r>
  </si>
  <si>
    <r>
      <t>Expected output:</t>
    </r>
    <r>
      <rPr>
        <sz val="11"/>
        <color theme="1"/>
        <rFont val="Calibri"/>
        <family val="2"/>
        <scheme val="minor"/>
      </rPr>
      <t xml:space="preserve"> 850</t>
    </r>
  </si>
  <si>
    <t>average sales</t>
  </si>
  <si>
    <t>total revenue</t>
  </si>
  <si>
    <t>region performance check</t>
  </si>
  <si>
    <t>high ticket orders</t>
  </si>
  <si>
    <t>profitbilit</t>
  </si>
  <si>
    <t xml:space="preserve"> 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</si>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</sst>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2" xfId="0" applyBorder="1"/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2" xfId="0" applyFont="1" applyFill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textRotation="45"/>
    </xf>
    <xf numFmtId="0" fontId="0" fillId="0" borderId="0" xfId="0" applyAlignment="1"/>
    <xf numFmtId="0" fontId="6" fillId="0" borderId="3" xfId="0" applyFont="1" applyFill="1" applyBorder="1" applyAlignment="1">
      <alignment horizontal="left" vertical="center" wrapText="1" indent="1" readingOrder="1"/>
    </xf>
    <xf numFmtId="0" fontId="6" fillId="0" borderId="0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3</xdr:row>
      <xdr:rowOff>304800</xdr:rowOff>
    </xdr:from>
    <xdr:to>
      <xdr:col>8</xdr:col>
      <xdr:colOff>106680</xdr:colOff>
      <xdr:row>4</xdr:row>
      <xdr:rowOff>68580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E3CCE47-8E7E-B937-5F80-0F8DD8FA8C8F}"/>
            </a:ext>
          </a:extLst>
        </xdr:cNvPr>
        <xdr:cNvCxnSpPr/>
      </xdr:nvCxnSpPr>
      <xdr:spPr>
        <a:xfrm>
          <a:off x="4282440" y="1356360"/>
          <a:ext cx="70104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C36A-BFD6-4B98-87A3-D5C58126540B}">
  <dimension ref="A1:P31"/>
  <sheetViews>
    <sheetView tabSelected="1" topLeftCell="B1" workbookViewId="0">
      <selection activeCell="L7" sqref="L7"/>
    </sheetView>
  </sheetViews>
  <sheetFormatPr defaultRowHeight="14.4" x14ac:dyDescent="0.3"/>
  <cols>
    <col min="4" max="4" width="15" customWidth="1"/>
  </cols>
  <sheetData>
    <row r="1" spans="1:16" ht="2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24</v>
      </c>
      <c r="P1" s="12" t="s">
        <v>25</v>
      </c>
    </row>
    <row r="2" spans="1:16" ht="27.6" x14ac:dyDescent="0.3">
      <c r="A2" s="9" t="s">
        <v>6</v>
      </c>
      <c r="B2" s="9" t="s">
        <v>7</v>
      </c>
      <c r="C2" s="9" t="s">
        <v>8</v>
      </c>
      <c r="D2" s="9" t="s">
        <v>9</v>
      </c>
      <c r="E2" s="9">
        <v>1200</v>
      </c>
      <c r="F2" s="10">
        <v>300</v>
      </c>
      <c r="G2" s="5" t="str">
        <f>IF(F2&gt;0, "profit", "loss")</f>
        <v>profit</v>
      </c>
      <c r="H2" s="17" t="s">
        <v>46</v>
      </c>
    </row>
    <row r="3" spans="1:16" ht="27.6" x14ac:dyDescent="0.3">
      <c r="A3" s="9" t="s">
        <v>10</v>
      </c>
      <c r="B3" s="9" t="s">
        <v>11</v>
      </c>
      <c r="C3" s="9" t="s">
        <v>12</v>
      </c>
      <c r="D3" s="9" t="s">
        <v>13</v>
      </c>
      <c r="E3" s="9">
        <v>450</v>
      </c>
      <c r="F3" s="10">
        <v>-50</v>
      </c>
      <c r="G3" s="5" t="str">
        <f t="shared" ref="G3:G7" si="0">IF(F3&gt;0, "profit", "loss")</f>
        <v>loss</v>
      </c>
      <c r="P3" s="13" t="s">
        <v>26</v>
      </c>
    </row>
    <row r="4" spans="1:16" ht="41.4" x14ac:dyDescent="0.3">
      <c r="A4" s="9" t="s">
        <v>14</v>
      </c>
      <c r="B4" s="9" t="s">
        <v>15</v>
      </c>
      <c r="C4" s="9" t="s">
        <v>8</v>
      </c>
      <c r="D4" s="9" t="s">
        <v>16</v>
      </c>
      <c r="E4" s="9">
        <v>150</v>
      </c>
      <c r="F4" s="10">
        <v>20</v>
      </c>
      <c r="G4" s="5" t="str">
        <f t="shared" si="0"/>
        <v>profit</v>
      </c>
      <c r="I4" s="16" t="s">
        <v>47</v>
      </c>
      <c r="P4" s="14"/>
    </row>
    <row r="5" spans="1:16" ht="42" x14ac:dyDescent="0.3">
      <c r="A5" s="9" t="s">
        <v>17</v>
      </c>
      <c r="B5" s="9" t="s">
        <v>18</v>
      </c>
      <c r="C5" s="9" t="s">
        <v>19</v>
      </c>
      <c r="D5" s="9" t="s">
        <v>9</v>
      </c>
      <c r="E5" s="9">
        <v>900</v>
      </c>
      <c r="F5" s="10">
        <v>150</v>
      </c>
      <c r="G5" s="5" t="str">
        <f t="shared" si="0"/>
        <v>profit</v>
      </c>
      <c r="I5" s="16" t="s">
        <v>45</v>
      </c>
      <c r="P5" s="15" t="s">
        <v>27</v>
      </c>
    </row>
    <row r="6" spans="1:16" ht="27.6" x14ac:dyDescent="0.3">
      <c r="A6" s="9" t="s">
        <v>20</v>
      </c>
      <c r="B6" s="9" t="s">
        <v>21</v>
      </c>
      <c r="C6" s="9" t="s">
        <v>12</v>
      </c>
      <c r="D6" s="9" t="s">
        <v>13</v>
      </c>
      <c r="E6" s="9">
        <v>300</v>
      </c>
      <c r="F6" s="10">
        <v>-20</v>
      </c>
      <c r="G6" s="5" t="str">
        <f t="shared" si="0"/>
        <v>loss</v>
      </c>
      <c r="P6" s="14"/>
    </row>
    <row r="7" spans="1:16" ht="27.6" x14ac:dyDescent="0.3">
      <c r="A7" s="9" t="s">
        <v>22</v>
      </c>
      <c r="B7" s="9" t="s">
        <v>23</v>
      </c>
      <c r="C7" s="9" t="s">
        <v>8</v>
      </c>
      <c r="D7" s="9" t="s">
        <v>9</v>
      </c>
      <c r="E7" s="9">
        <v>2100</v>
      </c>
      <c r="F7" s="10">
        <v>500</v>
      </c>
      <c r="G7" s="5" t="str">
        <f t="shared" si="0"/>
        <v>profit</v>
      </c>
      <c r="P7" s="15" t="s">
        <v>28</v>
      </c>
    </row>
    <row r="8" spans="1:16" x14ac:dyDescent="0.3">
      <c r="D8" s="11" t="s">
        <v>42</v>
      </c>
      <c r="E8">
        <f>SUM(E2:E7)</f>
        <v>5100</v>
      </c>
    </row>
    <row r="9" spans="1:16" ht="20.399999999999999" x14ac:dyDescent="0.3">
      <c r="D9" s="18" t="s">
        <v>43</v>
      </c>
      <c r="E9">
        <f>COUNTIF(C1:C7,"West")</f>
        <v>3</v>
      </c>
      <c r="P9" s="13" t="s">
        <v>29</v>
      </c>
    </row>
    <row r="10" spans="1:16" x14ac:dyDescent="0.3">
      <c r="D10" s="18" t="s">
        <v>44</v>
      </c>
      <c r="E10">
        <f>COUNTIFS(D2:D7,"Technology", E2:E7,"&gt;1000")</f>
        <v>2</v>
      </c>
      <c r="P10" s="14"/>
    </row>
    <row r="11" spans="1:16" ht="15" x14ac:dyDescent="0.3">
      <c r="D11" s="19" t="s">
        <v>41</v>
      </c>
      <c r="E11">
        <f>AVERAGE(E2:E7)</f>
        <v>850</v>
      </c>
      <c r="P11" s="15" t="s">
        <v>30</v>
      </c>
    </row>
    <row r="12" spans="1:16" x14ac:dyDescent="0.3">
      <c r="P12" s="14"/>
    </row>
    <row r="13" spans="1:16" x14ac:dyDescent="0.3">
      <c r="P13" s="15" t="s">
        <v>31</v>
      </c>
    </row>
    <row r="15" spans="1:16" x14ac:dyDescent="0.3">
      <c r="P15" s="13" t="s">
        <v>32</v>
      </c>
    </row>
    <row r="16" spans="1:16" x14ac:dyDescent="0.3">
      <c r="P16" s="14"/>
    </row>
    <row r="17" spans="16:16" ht="15" x14ac:dyDescent="0.3">
      <c r="P17" s="15" t="s">
        <v>33</v>
      </c>
    </row>
    <row r="18" spans="16:16" x14ac:dyDescent="0.3">
      <c r="P18" s="14"/>
    </row>
    <row r="19" spans="16:16" x14ac:dyDescent="0.3">
      <c r="P19" s="15" t="s">
        <v>34</v>
      </c>
    </row>
    <row r="21" spans="16:16" x14ac:dyDescent="0.3">
      <c r="P21" s="13" t="s">
        <v>35</v>
      </c>
    </row>
    <row r="22" spans="16:16" x14ac:dyDescent="0.3">
      <c r="P22" s="14"/>
    </row>
    <row r="23" spans="16:16" ht="15" x14ac:dyDescent="0.3">
      <c r="P23" s="15" t="s">
        <v>36</v>
      </c>
    </row>
    <row r="24" spans="16:16" x14ac:dyDescent="0.3">
      <c r="P24" s="14"/>
    </row>
    <row r="25" spans="16:16" x14ac:dyDescent="0.3">
      <c r="P25" s="15" t="s">
        <v>37</v>
      </c>
    </row>
    <row r="27" spans="16:16" x14ac:dyDescent="0.3">
      <c r="P27" s="13" t="s">
        <v>38</v>
      </c>
    </row>
    <row r="28" spans="16:16" x14ac:dyDescent="0.3">
      <c r="P28" s="14"/>
    </row>
    <row r="29" spans="16:16" ht="15" x14ac:dyDescent="0.3">
      <c r="P29" s="15" t="s">
        <v>39</v>
      </c>
    </row>
    <row r="30" spans="16:16" x14ac:dyDescent="0.3">
      <c r="P30" s="14"/>
    </row>
    <row r="31" spans="16:16" x14ac:dyDescent="0.3">
      <c r="P31" s="15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E890-0CD0-46AD-B86D-712CC78A7849}">
  <dimension ref="A1:F7"/>
  <sheetViews>
    <sheetView workbookViewId="0">
      <selection activeCell="J16" sqref="J16"/>
    </sheetView>
  </sheetViews>
  <sheetFormatPr defaultRowHeight="14.4" x14ac:dyDescent="0.3"/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8.2" thickBot="1" x14ac:dyDescent="0.35">
      <c r="A2" s="3" t="s">
        <v>6</v>
      </c>
      <c r="B2" s="3" t="s">
        <v>7</v>
      </c>
      <c r="C2" s="3" t="s">
        <v>8</v>
      </c>
      <c r="D2" s="3" t="s">
        <v>9</v>
      </c>
      <c r="E2" s="3">
        <v>1200</v>
      </c>
      <c r="F2" s="4">
        <v>300</v>
      </c>
    </row>
    <row r="3" spans="1:6" ht="28.2" thickBot="1" x14ac:dyDescent="0.35">
      <c r="A3" s="3" t="s">
        <v>10</v>
      </c>
      <c r="B3" s="3" t="s">
        <v>11</v>
      </c>
      <c r="C3" s="3" t="s">
        <v>12</v>
      </c>
      <c r="D3" s="3" t="s">
        <v>13</v>
      </c>
      <c r="E3" s="3">
        <v>450</v>
      </c>
      <c r="F3" s="4">
        <v>-50</v>
      </c>
    </row>
    <row r="4" spans="1:6" ht="42" thickBot="1" x14ac:dyDescent="0.35">
      <c r="A4" s="3" t="s">
        <v>14</v>
      </c>
      <c r="B4" s="3" t="s">
        <v>15</v>
      </c>
      <c r="C4" s="3" t="s">
        <v>8</v>
      </c>
      <c r="D4" s="3" t="s">
        <v>16</v>
      </c>
      <c r="E4" s="3">
        <v>150</v>
      </c>
      <c r="F4" s="4">
        <v>20</v>
      </c>
    </row>
    <row r="5" spans="1:6" ht="28.2" thickBot="1" x14ac:dyDescent="0.35">
      <c r="A5" s="3" t="s">
        <v>17</v>
      </c>
      <c r="B5" s="3" t="s">
        <v>18</v>
      </c>
      <c r="C5" s="3" t="s">
        <v>19</v>
      </c>
      <c r="D5" s="3" t="s">
        <v>9</v>
      </c>
      <c r="E5" s="3">
        <v>900</v>
      </c>
      <c r="F5" s="4">
        <v>150</v>
      </c>
    </row>
    <row r="6" spans="1:6" ht="28.2" thickBot="1" x14ac:dyDescent="0.35">
      <c r="A6" s="3" t="s">
        <v>20</v>
      </c>
      <c r="B6" s="3" t="s">
        <v>21</v>
      </c>
      <c r="C6" s="3" t="s">
        <v>12</v>
      </c>
      <c r="D6" s="3" t="s">
        <v>13</v>
      </c>
      <c r="E6" s="3">
        <v>300</v>
      </c>
      <c r="F6" s="4">
        <v>-20</v>
      </c>
    </row>
    <row r="7" spans="1:6" ht="28.2" thickBot="1" x14ac:dyDescent="0.35">
      <c r="A7" s="3" t="s">
        <v>22</v>
      </c>
      <c r="B7" s="3" t="s">
        <v>23</v>
      </c>
      <c r="C7" s="3" t="s">
        <v>8</v>
      </c>
      <c r="D7" s="3" t="s">
        <v>9</v>
      </c>
      <c r="E7" s="3">
        <v>2100</v>
      </c>
      <c r="F7" s="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Pandey</dc:creator>
  <cp:lastModifiedBy>Kundan Pandey</cp:lastModifiedBy>
  <dcterms:created xsi:type="dcterms:W3CDTF">2026-04-03T05:48:49Z</dcterms:created>
  <dcterms:modified xsi:type="dcterms:W3CDTF">2026-04-03T06:32:58Z</dcterms:modified>
</cp:coreProperties>
</file>