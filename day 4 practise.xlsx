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unda\OneDrive\Documents\Desktop\DATA_ANALYSIS_JOURNEY\PROJECTS\"/>
    </mc:Choice>
  </mc:AlternateContent>
  <xr:revisionPtr revIDLastSave="0" documentId="8_{048128CB-9A73-4A38-9D58-97C14BBCC4AE}" xr6:coauthVersionLast="47" xr6:coauthVersionMax="47" xr10:uidLastSave="{00000000-0000-0000-0000-000000000000}"/>
  <bookViews>
    <workbookView xWindow="-108" yWindow="-108" windowWidth="23256" windowHeight="12456" xr2:uid="{FE250C71-81DC-4E89-970B-2BEADB156852}"/>
  </bookViews>
  <sheets>
    <sheet name="Sheet1" sheetId="1" r:id="rId1"/>
    <sheet name="day_4_practic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9" i="1" l="1"/>
  <c r="X7" i="1"/>
  <c r="T5" i="1"/>
  <c r="T3" i="1"/>
  <c r="T1" i="1"/>
</calcChain>
</file>

<file path=xl/sharedStrings.xml><?xml version="1.0" encoding="utf-8"?>
<sst xmlns="http://schemas.openxmlformats.org/spreadsheetml/2006/main" count="77" uniqueCount="21">
  <si>
    <t>Order_ID</t>
  </si>
  <si>
    <t>Region</t>
  </si>
  <si>
    <t>Category</t>
  </si>
  <si>
    <t>Segment</t>
  </si>
  <si>
    <t>Sales</t>
  </si>
  <si>
    <t>Profit</t>
  </si>
  <si>
    <t>West</t>
  </si>
  <si>
    <t>Furniture</t>
  </si>
  <si>
    <t>Consumer</t>
  </si>
  <si>
    <t>East</t>
  </si>
  <si>
    <t>Technology</t>
  </si>
  <si>
    <t>Corporate</t>
  </si>
  <si>
    <t>Central</t>
  </si>
  <si>
    <t>Office Supplies</t>
  </si>
  <si>
    <t>Home Office</t>
  </si>
  <si>
    <t>South</t>
  </si>
  <si>
    <r>
      <t>Task 1:</t>
    </r>
    <r>
      <rPr>
        <sz val="11"/>
        <color theme="1"/>
        <rFont val="Calibri"/>
        <family val="2"/>
        <scheme val="minor"/>
      </rPr>
      <t xml:space="preserve"> Find the </t>
    </r>
    <r>
      <rPr>
        <b/>
        <sz val="11"/>
        <color theme="1"/>
        <rFont val="Calibri"/>
        <family val="2"/>
        <scheme val="minor"/>
      </rPr>
      <t>total sales</t>
    </r>
    <r>
      <rPr>
        <sz val="11"/>
        <color theme="1"/>
        <rFont val="Calibri"/>
        <family val="2"/>
        <scheme val="minor"/>
      </rPr>
      <t xml:space="preserve"> generated in the </t>
    </r>
    <r>
      <rPr>
        <b/>
        <sz val="11"/>
        <color theme="1"/>
        <rFont val="Calibri"/>
        <family val="2"/>
        <scheme val="minor"/>
      </rPr>
      <t>East region</t>
    </r>
    <r>
      <rPr>
        <sz val="11"/>
        <color theme="1"/>
        <rFont val="Calibri"/>
        <family val="2"/>
        <scheme val="minor"/>
      </rPr>
      <t xml:space="preserve"> only for the </t>
    </r>
    <r>
      <rPr>
        <b/>
        <sz val="11"/>
        <color theme="1"/>
        <rFont val="Calibri"/>
        <family val="2"/>
        <scheme val="minor"/>
      </rPr>
      <t>Corporate segment</t>
    </r>
    <r>
      <rPr>
        <sz val="11"/>
        <color theme="1"/>
        <rFont val="Calibri"/>
        <family val="2"/>
        <scheme val="minor"/>
      </rPr>
      <t>.</t>
    </r>
  </si>
  <si>
    <r>
      <t>Task 2:</t>
    </r>
    <r>
      <rPr>
        <sz val="11"/>
        <color theme="1"/>
        <rFont val="Calibri"/>
        <family val="2"/>
        <scheme val="minor"/>
      </rPr>
      <t xml:space="preserve"> Count how many </t>
    </r>
    <r>
      <rPr>
        <b/>
        <sz val="11"/>
        <color theme="1"/>
        <rFont val="Calibri"/>
        <family val="2"/>
        <scheme val="minor"/>
      </rPr>
      <t>orders</t>
    </r>
    <r>
      <rPr>
        <sz val="11"/>
        <color theme="1"/>
        <rFont val="Calibri"/>
        <family val="2"/>
        <scheme val="minor"/>
      </rPr>
      <t xml:space="preserve"> belong to the </t>
    </r>
    <r>
      <rPr>
        <b/>
        <sz val="11"/>
        <color theme="1"/>
        <rFont val="Calibri"/>
        <family val="2"/>
        <scheme val="minor"/>
      </rPr>
      <t>Furniture category</t>
    </r>
    <r>
      <rPr>
        <sz val="11"/>
        <color theme="1"/>
        <rFont val="Calibri"/>
        <family val="2"/>
        <scheme val="minor"/>
      </rPr>
      <t xml:space="preserve"> in the </t>
    </r>
    <r>
      <rPr>
        <b/>
        <sz val="11"/>
        <color theme="1"/>
        <rFont val="Calibri"/>
        <family val="2"/>
        <scheme val="minor"/>
      </rPr>
      <t>West region</t>
    </r>
    <r>
      <rPr>
        <sz val="11"/>
        <color theme="1"/>
        <rFont val="Calibri"/>
        <family val="2"/>
        <scheme val="minor"/>
      </rPr>
      <t>.</t>
    </r>
  </si>
  <si>
    <r>
      <t>Task 3:</t>
    </r>
    <r>
      <rPr>
        <sz val="11"/>
        <color theme="1"/>
        <rFont val="Calibri"/>
        <family val="2"/>
        <scheme val="minor"/>
      </rPr>
      <t xml:space="preserve"> Calculate the </t>
    </r>
    <r>
      <rPr>
        <b/>
        <sz val="11"/>
        <color theme="1"/>
        <rFont val="Calibri"/>
        <family val="2"/>
        <scheme val="minor"/>
      </rPr>
      <t>average profit</t>
    </r>
    <r>
      <rPr>
        <sz val="11"/>
        <color theme="1"/>
        <rFont val="Calibri"/>
        <family val="2"/>
        <scheme val="minor"/>
      </rPr>
      <t xml:space="preserve"> of all orders where the </t>
    </r>
    <r>
      <rPr>
        <b/>
        <sz val="11"/>
        <color theme="1"/>
        <rFont val="Calibri"/>
        <family val="2"/>
        <scheme val="minor"/>
      </rPr>
      <t>Segment is Consumer</t>
    </r>
    <r>
      <rPr>
        <sz val="11"/>
        <color theme="1"/>
        <rFont val="Calibri"/>
        <family val="2"/>
        <scheme val="minor"/>
      </rPr>
      <t>.</t>
    </r>
  </si>
  <si>
    <r>
      <t>Task 4:</t>
    </r>
    <r>
      <rPr>
        <sz val="11"/>
        <color theme="1"/>
        <rFont val="Calibri"/>
        <family val="2"/>
        <scheme val="minor"/>
      </rPr>
      <t xml:space="preserve"> Find the </t>
    </r>
    <r>
      <rPr>
        <b/>
        <sz val="11"/>
        <color theme="1"/>
        <rFont val="Calibri"/>
        <family val="2"/>
        <scheme val="minor"/>
      </rPr>
      <t>total sales</t>
    </r>
    <r>
      <rPr>
        <sz val="11"/>
        <color theme="1"/>
        <rFont val="Calibri"/>
        <family val="2"/>
        <scheme val="minor"/>
      </rPr>
      <t xml:space="preserve"> of </t>
    </r>
    <r>
      <rPr>
        <b/>
        <sz val="11"/>
        <color theme="1"/>
        <rFont val="Calibri"/>
        <family val="2"/>
        <scheme val="minor"/>
      </rPr>
      <t>Technology category</t>
    </r>
    <r>
      <rPr>
        <sz val="11"/>
        <color theme="1"/>
        <rFont val="Calibri"/>
        <family val="2"/>
        <scheme val="minor"/>
      </rPr>
      <t xml:space="preserve"> in the </t>
    </r>
    <r>
      <rPr>
        <b/>
        <sz val="11"/>
        <color theme="1"/>
        <rFont val="Calibri"/>
        <family val="2"/>
        <scheme val="minor"/>
      </rPr>
      <t>Central region</t>
    </r>
    <r>
      <rPr>
        <sz val="11"/>
        <color theme="1"/>
        <rFont val="Calibri"/>
        <family val="2"/>
        <scheme val="minor"/>
      </rPr>
      <t xml:space="preserve">, but only include orders where </t>
    </r>
    <r>
      <rPr>
        <b/>
        <sz val="11"/>
        <color theme="1"/>
        <rFont val="Calibri"/>
        <family val="2"/>
        <scheme val="minor"/>
      </rPr>
      <t>Profit is greater than 100</t>
    </r>
    <r>
      <rPr>
        <sz val="11"/>
        <color theme="1"/>
        <rFont val="Calibri"/>
        <family val="2"/>
        <scheme val="minor"/>
      </rPr>
      <t>.</t>
    </r>
  </si>
  <si>
    <r>
      <t>Task 5:</t>
    </r>
    <r>
      <rPr>
        <sz val="11"/>
        <color theme="1"/>
        <rFont val="Calibri"/>
        <family val="2"/>
        <scheme val="minor"/>
      </rPr>
      <t xml:space="preserve"> Count how many </t>
    </r>
    <r>
      <rPr>
        <b/>
        <sz val="11"/>
        <color theme="1"/>
        <rFont val="Calibri"/>
        <family val="2"/>
        <scheme val="minor"/>
      </rPr>
      <t>orders are loss-making</t>
    </r>
    <r>
      <rPr>
        <sz val="11"/>
        <color theme="1"/>
        <rFont val="Calibri"/>
        <family val="2"/>
        <scheme val="minor"/>
      </rPr>
      <t xml:space="preserve"> (Profit &lt; 0) in the </t>
    </r>
    <r>
      <rPr>
        <b/>
        <sz val="11"/>
        <color theme="1"/>
        <rFont val="Calibri"/>
        <family val="2"/>
        <scheme val="minor"/>
      </rPr>
      <t>Furniture category across all regions</t>
    </r>
    <r>
      <rPr>
        <sz val="11"/>
        <color theme="1"/>
        <rFont val="Calibri"/>
        <family val="2"/>
        <scheme val="minor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</si>
</sst>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2" borderId="0" xfId="0" applyFill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B8F24-C75D-4ACC-BB3A-03C0D06A8289}">
  <dimension ref="A1:X19"/>
  <sheetViews>
    <sheetView tabSelected="1" zoomScale="80" zoomScaleNormal="80" workbookViewId="0">
      <selection activeCell="V10" sqref="V10"/>
    </sheetView>
  </sheetViews>
  <sheetFormatPr defaultRowHeight="14.4" x14ac:dyDescent="0.3"/>
  <cols>
    <col min="1" max="1" width="8.5546875" bestFit="1" customWidth="1"/>
    <col min="3" max="3" width="12.88671875" customWidth="1"/>
    <col min="4" max="4" width="10.44140625" customWidth="1"/>
  </cols>
  <sheetData>
    <row r="1" spans="1:2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J1" s="3"/>
      <c r="K1" s="4" t="s">
        <v>16</v>
      </c>
      <c r="L1" s="3"/>
      <c r="M1" s="3"/>
      <c r="N1" s="3"/>
      <c r="O1" s="3"/>
      <c r="P1" s="3"/>
      <c r="Q1" s="3"/>
      <c r="R1" s="3"/>
      <c r="S1" s="3"/>
      <c r="T1" s="3">
        <f>SUMIFS(E1:E11,B1:B11,"East",D1:D11,"Corporate")</f>
        <v>1200</v>
      </c>
      <c r="U1" s="3"/>
      <c r="V1" s="3"/>
      <c r="W1" s="3"/>
      <c r="X1" s="3"/>
    </row>
    <row r="2" spans="1:24" x14ac:dyDescent="0.3">
      <c r="A2" s="2">
        <v>101</v>
      </c>
      <c r="B2" s="2" t="s">
        <v>6</v>
      </c>
      <c r="C2" s="2" t="s">
        <v>7</v>
      </c>
      <c r="D2" s="2" t="s">
        <v>8</v>
      </c>
      <c r="E2" s="2">
        <v>500</v>
      </c>
      <c r="F2" s="2">
        <v>-50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3">
      <c r="A3" s="2">
        <v>102</v>
      </c>
      <c r="B3" s="2" t="s">
        <v>9</v>
      </c>
      <c r="C3" s="2" t="s">
        <v>10</v>
      </c>
      <c r="D3" s="2" t="s">
        <v>11</v>
      </c>
      <c r="E3" s="2">
        <v>1200</v>
      </c>
      <c r="F3" s="2">
        <v>300</v>
      </c>
      <c r="J3" s="3"/>
      <c r="K3" s="4" t="s">
        <v>17</v>
      </c>
      <c r="L3" s="3"/>
      <c r="M3" s="3"/>
      <c r="N3" s="3"/>
      <c r="O3" s="3"/>
      <c r="P3" s="3"/>
      <c r="Q3" s="3"/>
      <c r="R3" s="3"/>
      <c r="S3" s="3"/>
      <c r="T3" s="3">
        <f>COUNTIFS(C1:C11,"Furniture",B1:B11,"West")</f>
        <v>2</v>
      </c>
      <c r="U3" s="3"/>
      <c r="V3" s="3"/>
      <c r="W3" s="3"/>
      <c r="X3" s="3"/>
    </row>
    <row r="4" spans="1:24" ht="28.8" x14ac:dyDescent="0.3">
      <c r="A4" s="2">
        <v>103</v>
      </c>
      <c r="B4" s="2" t="s">
        <v>12</v>
      </c>
      <c r="C4" s="2" t="s">
        <v>13</v>
      </c>
      <c r="D4" s="2" t="s">
        <v>14</v>
      </c>
      <c r="E4" s="2">
        <v>200</v>
      </c>
      <c r="F4" s="2">
        <v>20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x14ac:dyDescent="0.3">
      <c r="A5" s="2">
        <v>104</v>
      </c>
      <c r="B5" s="2" t="s">
        <v>6</v>
      </c>
      <c r="C5" s="2" t="s">
        <v>10</v>
      </c>
      <c r="D5" s="2" t="s">
        <v>11</v>
      </c>
      <c r="E5" s="2">
        <v>800</v>
      </c>
      <c r="F5" s="2">
        <v>150</v>
      </c>
      <c r="J5" s="3"/>
      <c r="K5" s="4" t="s">
        <v>18</v>
      </c>
      <c r="L5" s="3"/>
      <c r="M5" s="3"/>
      <c r="N5" s="3"/>
      <c r="O5" s="3"/>
      <c r="P5" s="3"/>
      <c r="Q5" s="3"/>
      <c r="R5" s="3"/>
      <c r="S5" s="3"/>
      <c r="T5" s="3">
        <f>AVERAGEIF(D1:D11,"Consumer",F1:F11)</f>
        <v>-12.5</v>
      </c>
      <c r="U5" s="3"/>
      <c r="V5" s="3"/>
      <c r="W5" s="3"/>
      <c r="X5" s="3"/>
    </row>
    <row r="6" spans="1:24" x14ac:dyDescent="0.3">
      <c r="A6" s="2">
        <v>105</v>
      </c>
      <c r="B6" s="2" t="s">
        <v>9</v>
      </c>
      <c r="C6" s="2" t="s">
        <v>7</v>
      </c>
      <c r="D6" s="2" t="s">
        <v>8</v>
      </c>
      <c r="E6" s="2">
        <v>700</v>
      </c>
      <c r="F6" s="2">
        <v>-30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ht="28.8" x14ac:dyDescent="0.3">
      <c r="A7" s="2">
        <v>106</v>
      </c>
      <c r="B7" s="2" t="s">
        <v>15</v>
      </c>
      <c r="C7" s="2" t="s">
        <v>13</v>
      </c>
      <c r="D7" s="2" t="s">
        <v>8</v>
      </c>
      <c r="E7" s="2">
        <v>400</v>
      </c>
      <c r="F7" s="2">
        <v>40</v>
      </c>
      <c r="J7" s="3"/>
      <c r="K7" s="4" t="s">
        <v>19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>
        <f>SUMIFS(E1:E11,C1:C11,"Technology",B1:B11,"Central",F1:F11,"&gt;100")</f>
        <v>1500</v>
      </c>
    </row>
    <row r="8" spans="1:24" x14ac:dyDescent="0.3">
      <c r="A8" s="2">
        <v>107</v>
      </c>
      <c r="B8" s="2" t="s">
        <v>12</v>
      </c>
      <c r="C8" s="2" t="s">
        <v>10</v>
      </c>
      <c r="D8" s="2" t="s">
        <v>11</v>
      </c>
      <c r="E8" s="2">
        <v>1500</v>
      </c>
      <c r="F8" s="2">
        <v>250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ht="28.8" x14ac:dyDescent="0.3">
      <c r="A9" s="2">
        <v>108</v>
      </c>
      <c r="B9" s="2" t="s">
        <v>6</v>
      </c>
      <c r="C9" s="2" t="s">
        <v>7</v>
      </c>
      <c r="D9" s="2" t="s">
        <v>14</v>
      </c>
      <c r="E9" s="2">
        <v>600</v>
      </c>
      <c r="F9" s="2">
        <v>60</v>
      </c>
      <c r="J9" s="3"/>
      <c r="K9" s="4" t="s">
        <v>20</v>
      </c>
      <c r="L9" s="3"/>
      <c r="M9" s="3"/>
      <c r="N9" s="3"/>
      <c r="O9" s="3"/>
      <c r="P9" s="3"/>
      <c r="Q9" s="3"/>
      <c r="R9" s="3"/>
      <c r="S9" s="3"/>
      <c r="T9" s="3"/>
      <c r="U9" s="3"/>
      <c r="V9" s="3">
        <f>COUNTIFS(C1:C11,"Furniture",F1:F11,"&lt;0")</f>
        <v>2</v>
      </c>
      <c r="W9" s="3"/>
      <c r="X9" s="3"/>
    </row>
    <row r="10" spans="1:24" ht="28.8" x14ac:dyDescent="0.3">
      <c r="A10" s="2">
        <v>109</v>
      </c>
      <c r="B10" s="2" t="s">
        <v>9</v>
      </c>
      <c r="C10" s="2" t="s">
        <v>13</v>
      </c>
      <c r="D10" s="2" t="s">
        <v>8</v>
      </c>
      <c r="E10" s="2">
        <v>300</v>
      </c>
      <c r="F10" s="2">
        <v>-10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 spans="1:24" x14ac:dyDescent="0.3">
      <c r="A11" s="2">
        <v>110</v>
      </c>
      <c r="B11" s="2" t="s">
        <v>12</v>
      </c>
      <c r="C11" s="2" t="s">
        <v>7</v>
      </c>
      <c r="D11" s="2" t="s">
        <v>11</v>
      </c>
      <c r="E11" s="2">
        <v>900</v>
      </c>
      <c r="F11" s="2">
        <v>100</v>
      </c>
    </row>
    <row r="19" spans="4:4" x14ac:dyDescent="0.3">
      <c r="D19">
        <v>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119FB-4BE6-40F4-BC9F-8A738B04A17A}">
  <dimension ref="A1:F11"/>
  <sheetViews>
    <sheetView workbookViewId="0">
      <selection sqref="A1:F11"/>
    </sheetView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8.8" x14ac:dyDescent="0.3">
      <c r="A2" s="2">
        <v>101</v>
      </c>
      <c r="B2" s="2" t="s">
        <v>6</v>
      </c>
      <c r="C2" s="2" t="s">
        <v>7</v>
      </c>
      <c r="D2" s="2" t="s">
        <v>8</v>
      </c>
      <c r="E2" s="2">
        <v>500</v>
      </c>
      <c r="F2" s="2">
        <v>-50</v>
      </c>
    </row>
    <row r="3" spans="1:6" ht="28.8" x14ac:dyDescent="0.3">
      <c r="A3" s="2">
        <v>102</v>
      </c>
      <c r="B3" s="2" t="s">
        <v>9</v>
      </c>
      <c r="C3" s="2" t="s">
        <v>10</v>
      </c>
      <c r="D3" s="2" t="s">
        <v>11</v>
      </c>
      <c r="E3" s="2">
        <v>1200</v>
      </c>
      <c r="F3" s="2">
        <v>300</v>
      </c>
    </row>
    <row r="4" spans="1:6" ht="28.8" x14ac:dyDescent="0.3">
      <c r="A4" s="2">
        <v>103</v>
      </c>
      <c r="B4" s="2" t="s">
        <v>12</v>
      </c>
      <c r="C4" s="2" t="s">
        <v>13</v>
      </c>
      <c r="D4" s="2" t="s">
        <v>14</v>
      </c>
      <c r="E4" s="2">
        <v>200</v>
      </c>
      <c r="F4" s="2">
        <v>20</v>
      </c>
    </row>
    <row r="5" spans="1:6" ht="28.8" x14ac:dyDescent="0.3">
      <c r="A5" s="2">
        <v>104</v>
      </c>
      <c r="B5" s="2" t="s">
        <v>6</v>
      </c>
      <c r="C5" s="2" t="s">
        <v>10</v>
      </c>
      <c r="D5" s="2" t="s">
        <v>11</v>
      </c>
      <c r="E5" s="2">
        <v>800</v>
      </c>
      <c r="F5" s="2">
        <v>150</v>
      </c>
    </row>
    <row r="6" spans="1:6" ht="28.8" x14ac:dyDescent="0.3">
      <c r="A6" s="2">
        <v>105</v>
      </c>
      <c r="B6" s="2" t="s">
        <v>9</v>
      </c>
      <c r="C6" s="2" t="s">
        <v>7</v>
      </c>
      <c r="D6" s="2" t="s">
        <v>8</v>
      </c>
      <c r="E6" s="2">
        <v>700</v>
      </c>
      <c r="F6" s="2">
        <v>-30</v>
      </c>
    </row>
    <row r="7" spans="1:6" ht="28.8" x14ac:dyDescent="0.3">
      <c r="A7" s="2">
        <v>106</v>
      </c>
      <c r="B7" s="2" t="s">
        <v>15</v>
      </c>
      <c r="C7" s="2" t="s">
        <v>13</v>
      </c>
      <c r="D7" s="2" t="s">
        <v>8</v>
      </c>
      <c r="E7" s="2">
        <v>400</v>
      </c>
      <c r="F7" s="2">
        <v>40</v>
      </c>
    </row>
    <row r="8" spans="1:6" ht="28.8" x14ac:dyDescent="0.3">
      <c r="A8" s="2">
        <v>107</v>
      </c>
      <c r="B8" s="2" t="s">
        <v>12</v>
      </c>
      <c r="C8" s="2" t="s">
        <v>10</v>
      </c>
      <c r="D8" s="2" t="s">
        <v>11</v>
      </c>
      <c r="E8" s="2">
        <v>1500</v>
      </c>
      <c r="F8" s="2">
        <v>250</v>
      </c>
    </row>
    <row r="9" spans="1:6" ht="28.8" x14ac:dyDescent="0.3">
      <c r="A9" s="2">
        <v>108</v>
      </c>
      <c r="B9" s="2" t="s">
        <v>6</v>
      </c>
      <c r="C9" s="2" t="s">
        <v>7</v>
      </c>
      <c r="D9" s="2" t="s">
        <v>14</v>
      </c>
      <c r="E9" s="2">
        <v>600</v>
      </c>
      <c r="F9" s="2">
        <v>60</v>
      </c>
    </row>
    <row r="10" spans="1:6" ht="28.8" x14ac:dyDescent="0.3">
      <c r="A10" s="2">
        <v>109</v>
      </c>
      <c r="B10" s="2" t="s">
        <v>9</v>
      </c>
      <c r="C10" s="2" t="s">
        <v>13</v>
      </c>
      <c r="D10" s="2" t="s">
        <v>8</v>
      </c>
      <c r="E10" s="2">
        <v>300</v>
      </c>
      <c r="F10" s="2">
        <v>-10</v>
      </c>
    </row>
    <row r="11" spans="1:6" ht="28.8" x14ac:dyDescent="0.3">
      <c r="A11" s="2">
        <v>110</v>
      </c>
      <c r="B11" s="2" t="s">
        <v>12</v>
      </c>
      <c r="C11" s="2" t="s">
        <v>7</v>
      </c>
      <c r="D11" s="2" t="s">
        <v>11</v>
      </c>
      <c r="E11" s="2">
        <v>900</v>
      </c>
      <c r="F11" s="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day_4_practice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Kundan Pandey</dc:creator>
  <cp:lastModifiedBy>Kundan Pandey</cp:lastModifiedBy>
  <dcterms:created xsi:type="dcterms:W3CDTF">2026-04-04T07:12:37Z</dcterms:created>
  <dcterms:modified xsi:type="dcterms:W3CDTF">2026-04-04T07:44:04Z</dcterms:modified>
</cp:coreProperties>
</file>